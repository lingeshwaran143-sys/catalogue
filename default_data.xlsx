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 Naiduhall\Catala\"/>
    </mc:Choice>
  </mc:AlternateContent>
  <bookViews>
    <workbookView xWindow="0" yWindow="0" windowWidth="23040" windowHeight="907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2" i="1" l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I101" i="1"/>
  <c r="H101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I82" i="1"/>
  <c r="H82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H40" i="1"/>
  <c r="I4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39" i="1"/>
  <c r="H39" i="1"/>
  <c r="I38" i="1"/>
  <c r="H38" i="1"/>
  <c r="I37" i="1"/>
  <c r="H37" i="1"/>
</calcChain>
</file>

<file path=xl/sharedStrings.xml><?xml version="1.0" encoding="utf-8"?>
<sst xmlns="http://schemas.openxmlformats.org/spreadsheetml/2006/main" count="814" uniqueCount="125">
  <si>
    <t>Category</t>
  </si>
  <si>
    <t>Style</t>
  </si>
  <si>
    <t>StyleName</t>
  </si>
  <si>
    <t>Fit</t>
  </si>
  <si>
    <t>Sizes</t>
  </si>
  <si>
    <t>Shade</t>
  </si>
  <si>
    <t>ImageURLs</t>
  </si>
  <si>
    <t>MRP</t>
  </si>
  <si>
    <t>WSP</t>
  </si>
  <si>
    <t>DSP</t>
  </si>
  <si>
    <t>Panties</t>
  </si>
  <si>
    <t>IECDPL</t>
  </si>
  <si>
    <t>INNER ELASTIC DARK PLAIN</t>
  </si>
  <si>
    <t>R</t>
  </si>
  <si>
    <t>SM-XXL</t>
  </si>
  <si>
    <t>PLAIN</t>
  </si>
  <si>
    <t>https://vnhnaiduhall.com/cdn/shop/products/2_2536a067-693d-4125-b036-31a59be381fb.jpg?v=1757273222&amp;width=800,https://vnhnaiduhall.com/cdn/shop/products/4_c6872e65-7b3d-4847-bbc2-0bb058c5ce70.jpg?v=1757273222&amp;width=800</t>
  </si>
  <si>
    <t>395</t>
  </si>
  <si>
    <t>264.66</t>
  </si>
  <si>
    <t>L</t>
  </si>
  <si>
    <t>3X</t>
  </si>
  <si>
    <t>425</t>
  </si>
  <si>
    <t>284.76</t>
  </si>
  <si>
    <t>4X</t>
  </si>
  <si>
    <t>440</t>
  </si>
  <si>
    <t>294.81</t>
  </si>
  <si>
    <t>IECDPR</t>
  </si>
  <si>
    <t>INNER ELASTIC DARK PRINT</t>
  </si>
  <si>
    <t>PRINT</t>
  </si>
  <si>
    <t>https://vnhnaiduhall.com/cdn/shop/products/3_0b28b7bd-9b94-4729-9634-e213f94e378e.jpg?v=1757273218&amp;width=800,https://vnhnaiduhall.com/cdn/shop/products/4_393b0552-3005-43c9-82b4-4a82d53b04bc.jpg?v=1757273218&amp;width=800</t>
  </si>
  <si>
    <t>410</t>
  </si>
  <si>
    <t>274.71</t>
  </si>
  <si>
    <t>455</t>
  </si>
  <si>
    <t>304.86</t>
  </si>
  <si>
    <t>OECDPL</t>
  </si>
  <si>
    <t>OUTER ELASTIC DARK PLAIN</t>
  </si>
  <si>
    <t>https://vnhnaiduhall.com/cdn/shop/products/1_5ba46bcd-81a3-4ac5-b2e5-97dced45727c.jpg?v=1757273221&amp;width=800,https://vnhnaiduhall.com/cdn/shop/products/4_55400315-7791-45ea-bbc7-cac808c37dea.jpg?v=1757273221&amp;width=800</t>
  </si>
  <si>
    <t>460</t>
  </si>
  <si>
    <t>308.21</t>
  </si>
  <si>
    <t>OECDPR</t>
  </si>
  <si>
    <t>OUTER ELASTIC DARK PRINT</t>
  </si>
  <si>
    <t>https://vnhnaiduhall.com/cdn/shop/products/1_d7c957e1-2009-4024-a2ae-d990723410af.jpg?v=1757273213&amp;width=800,https://vnhnaiduhall.com/cdn/shop/products/4_7e768b03-c030-4140-9302-789e376eb218.jpg?v=1757273213&amp;width=800</t>
  </si>
  <si>
    <t>450</t>
  </si>
  <si>
    <t>301.51</t>
  </si>
  <si>
    <t>470</t>
  </si>
  <si>
    <t>314.91</t>
  </si>
  <si>
    <t>Shorts</t>
  </si>
  <si>
    <t>BS01</t>
  </si>
  <si>
    <t>MINI SHORTS</t>
  </si>
  <si>
    <t>R,L</t>
  </si>
  <si>
    <t>BLK</t>
  </si>
  <si>
    <t>https://vnhnaiduhall.com/cdn/shop/files/2_a4fec923-0062-40e8-aaaf-7dbeaacea6dd.jpg?v=1757270675&amp;width=800,https://vnhnaiduhall.com/cdn/shop/files/4_801ec279-6987-46ef-91c5-b79bd902a908.jpg?v=1757270675&amp;width=800</t>
  </si>
  <si>
    <t>195</t>
  </si>
  <si>
    <t>130.65</t>
  </si>
  <si>
    <t>SND</t>
  </si>
  <si>
    <t>https://vnhnaiduhall.com/cdn/shop/files/3_367aae98-0174-457d-a1e1-7388728f2108.jpg?v=1757270674&amp;width=800,https://vnhnaiduhall.com/cdn/shop/files/4_3b3f125e-89f8-4d81-819a-65b8a9f9ca00.jpg?v=1757270675&amp;width=800</t>
  </si>
  <si>
    <t>DL01</t>
  </si>
  <si>
    <t>CYLS</t>
  </si>
  <si>
    <t>DOUBLE LAYER SHORTS</t>
  </si>
  <si>
    <t>295</t>
  </si>
  <si>
    <t>197.65</t>
  </si>
  <si>
    <t>https://vnhnaiduhall.com/cdn/shop/files/1_5ae150d4-cda3-4849-9b3b-a340261b6f30.jpg?v=1757271038&amp;width=800,https://vnhnaiduhall.com/cdn/shop/files/4_4be02acf-d69a-4234-bbe0-eb1bb6dbc7fc.jpg?v=1757271038&amp;width=800</t>
  </si>
  <si>
    <t>https://vnhnaiduhall.com/cdn/shop/files/1_2f406cfd-a46a-4866-a225-8158f15ec305.jpg?v=1757271038&amp;width=800,https://vnhnaiduhall.com/cdn/shop/files/4_0b3f815a-227b-47d4-844f-d60ebaddc691.jpg?v=1757271038&amp;width=800</t>
  </si>
  <si>
    <t>CYCLING SHORTS</t>
  </si>
  <si>
    <t>275</t>
  </si>
  <si>
    <t>184.25</t>
  </si>
  <si>
    <t>https://vnhnaiduhall.com/cdn/shop/files/1_be6f8133-5312-41ad-8f0d-b890cdc9c4db.jpg?v=1757271040&amp;width=800,https://vnhnaiduhall.com/cdn/shop/files/4_ecc4cee6-1ccb-4ee8-b3a0-1d1bc5e50011.jpg?v=1757271040&amp;width=800</t>
  </si>
  <si>
    <t>https://vnhnaiduhall.com/cdn/shop/files/3_021e435b-7045-4df4-a469-ef77b6a219ca.jpg?v=1757271040&amp;width=800,https://vnhnaiduhall.com/cdn/shop/files/4_f3e232c7-1697-4c24-8387-0bf73b56b752.jpg?v=1757271041&amp;width=800</t>
  </si>
  <si>
    <t>Petticoat</t>
  </si>
  <si>
    <t>SW02</t>
  </si>
  <si>
    <t>SHAPE WEAR</t>
  </si>
  <si>
    <t>795</t>
  </si>
  <si>
    <t>530</t>
  </si>
  <si>
    <t>ME-XXL</t>
  </si>
  <si>
    <t>BLU</t>
  </si>
  <si>
    <t>DPK</t>
  </si>
  <si>
    <t>IRY</t>
  </si>
  <si>
    <t>MRN</t>
  </si>
  <si>
    <t>MUS</t>
  </si>
  <si>
    <t>PNK</t>
  </si>
  <si>
    <t>RED</t>
  </si>
  <si>
    <t>SKN</t>
  </si>
  <si>
    <t>https://vnhnaiduhall.com/cdn/shop/files/1_5298bc44-2d1c-41dc-9d66-30e7c8788198.jpg?v=1757273152&amp;width=800,https://vnhnaiduhall.com/cdn/shop/files/4_7d9f6701-2aba-43e7-bb66-09046f6d5242.jpg?v=1757273153&amp;width=800</t>
  </si>
  <si>
    <t>https://vnhnaiduhall.com/cdn/shop/files/1_204403c8-b79e-4a6c-89a7-639852088531.jpg?v=1757271676&amp;width=800,https://vnhnaiduhall.com/cdn/shop/files/4_c1b7d1c8-d5d8-4b62-bc59-753fd1279d0d.jpg?v=1757271676&amp;width=800</t>
  </si>
  <si>
    <t>https://vnhnaiduhall.com/cdn/shop/files/1_9f5efa07-033a-44c4-a777-6d729700e2a1.jpg?v=1757271662&amp;width=800,https://vnhnaiduhall.com/cdn/shop/files/4_2e0625c0-358e-464d-8720-1f1b3cefce16.jpg?v=1757271662&amp;width=800</t>
  </si>
  <si>
    <t>SW03</t>
  </si>
  <si>
    <t>COP</t>
  </si>
  <si>
    <t>DGE</t>
  </si>
  <si>
    <t>DNY</t>
  </si>
  <si>
    <t>GLD</t>
  </si>
  <si>
    <t>MPI</t>
  </si>
  <si>
    <t>695</t>
  </si>
  <si>
    <t>465.66</t>
  </si>
  <si>
    <t>https://vnhnaiduhall.com/cdn/shop/files/1_3dd34e86-1493-4544-a3dd-107e1f8ca23a.jpg?v=1757271620&amp;width=800,https://vnhnaiduhall.com/cdn/shop/files/4_0959d6b9-e86a-409a-a604-c3a5be7a105c.jpg?v=1757271620&amp;width=800</t>
  </si>
  <si>
    <t>Slip</t>
  </si>
  <si>
    <t>3NSL</t>
  </si>
  <si>
    <t>3/4 NIGHT SLIP</t>
  </si>
  <si>
    <t>ME-3XL</t>
  </si>
  <si>
    <t>AML</t>
  </si>
  <si>
    <t>BAT</t>
  </si>
  <si>
    <t>CBR</t>
  </si>
  <si>
    <t>DSK</t>
  </si>
  <si>
    <t>FUS</t>
  </si>
  <si>
    <t>GRM</t>
  </si>
  <si>
    <t>MPU</t>
  </si>
  <si>
    <t>NBL</t>
  </si>
  <si>
    <t>WHT</t>
  </si>
  <si>
    <t>https://vnhnaiduhall.com/cdn/shop/products/1_4ffbef4f-f1d6-40d1-a948-1c90c466b623.jpg?v=1757273662&amp;width=800,https://vnhnaiduhall.com/cdn/shop/products/4_1a4dbd6a-e737-420b-b4c5-0174367f92cd.jpg?v=1757273662&amp;width=800</t>
  </si>
  <si>
    <t>NGSL</t>
  </si>
  <si>
    <t>FULL NIGHT SLIP</t>
  </si>
  <si>
    <t>https://vnhnaiduhall.com/cdn/shop/products/1_e2c7ab24-3780-4709-bde8-1ecb8621ba43.jpg?v=1757273551&amp;width=800,https://vnhnaiduhall.com/cdn/shop/products/4_d68ef743-60ac-4eb3-872a-8830d3c8b253.jpg?v=1757273552&amp;width=800</t>
  </si>
  <si>
    <t>IN07</t>
  </si>
  <si>
    <t>TANK TOP</t>
  </si>
  <si>
    <t>BGE</t>
  </si>
  <si>
    <t>BTI</t>
  </si>
  <si>
    <t>CPE</t>
  </si>
  <si>
    <t>LAV</t>
  </si>
  <si>
    <t>LLG</t>
  </si>
  <si>
    <t>PCH</t>
  </si>
  <si>
    <t>https://vnhnaiduhall.com/cdn/shop/products/1_400925c8-f36d-4baf-97ea-53a692719524.jpg?v=1757272854&amp;width=800,https://vnhnaiduhall.com/cdn/shop/products/4_a38bbe93-5c80-4a12-87bf-bccdbc8e87fe.jpg?v=1757272854&amp;width=800</t>
  </si>
  <si>
    <t>IN08</t>
  </si>
  <si>
    <t>FULL COVERAGE SLIP</t>
  </si>
  <si>
    <t>https://vnhnaiduhall.com/cdn/shop/products/1_0cabf6d0-6eff-427f-b8c3-1a0b8d33796b.jpg?v=1757273591&amp;width=800,https://vnhnaiduhall.com/cdn/shop/products/4_469a80fa-e7fb-4667-8f6c-1e915b792a91.jpg?v=1757273592&amp;width=800</t>
  </si>
  <si>
    <t>IN15</t>
  </si>
  <si>
    <t>https://vnhnaiduhall.com/cdn/shop/products/1_d20458fd-35d2-4df8-bfd8-2cd4836fd191.jpg?v=1757272940&amp;width=800,https://vnhnaiduhall.com/cdn/shop/products/4_e5f957da-49b1-4462-a264-f20884cb3b37.jpg?v=1757272941&amp;width=800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</si>
</sst>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NumberFormat="1"/>
    <xf numFmtId="0" fontId="1" fillId="0" borderId="0" xfId="0" applyFont="1"/>
    <xf numFmtId="0" fontId="2" fillId="0" borderId="0" xfId="1" applyNumberFormat="1"/>
    <xf numFmtId="0" fontId="2" fillId="0" borderId="0" xfId="1"/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vnhnaiduhall.com/cdn/shop/files/1_204403c8-b79e-4a6c-89a7-639852088531.jpg?v=1757271676&amp;width=800,https://vnhnaiduhall.com/cdn/shop/files/4_c1b7d1c8-d5d8-4b62-bc59-753fd1279d0d.jpg?v=1757271676&amp;width=800" TargetMode="External"/><Relationship Id="rId13" Type="http://schemas.openxmlformats.org/officeDocument/2006/relationships/hyperlink" Target="https://vnhnaiduhall.com/cdn/shop/products/1_400925c8-f36d-4baf-97ea-53a692719524.jpg?v=1757272854&amp;width=800,https://vnhnaiduhall.com/cdn/shop/products/4_a38bbe93-5c80-4a12-87bf-bccdbc8e87fe.jpg?v=1757272854&amp;width=800" TargetMode="External"/><Relationship Id="rId3" Type="http://schemas.openxmlformats.org/officeDocument/2006/relationships/hyperlink" Target="https://vnhnaiduhall.com/cdn/shop/files/1_5ae150d4-cda3-4849-9b3b-a340261b6f30.jpg?v=1757271038&amp;width=800,https://vnhnaiduhall.com/cdn/shop/files/4_4be02acf-d69a-4234-bbe0-eb1bb6dbc7fc.jpg?v=1757271038&amp;width=800" TargetMode="External"/><Relationship Id="rId7" Type="http://schemas.openxmlformats.org/officeDocument/2006/relationships/hyperlink" Target="https://vnhnaiduhall.com/cdn/shop/files/1_5298bc44-2d1c-41dc-9d66-30e7c8788198.jpg?v=1757273152&amp;width=800,https://vnhnaiduhall.com/cdn/shop/files/4_7d9f6701-2aba-43e7-bb66-09046f6d5242.jpg?v=1757273153&amp;width=800" TargetMode="External"/><Relationship Id="rId12" Type="http://schemas.openxmlformats.org/officeDocument/2006/relationships/hyperlink" Target="https://vnhnaiduhall.com/cdn/shop/products/1_e2c7ab24-3780-4709-bde8-1ecb8621ba43.jpg?v=1757273551&amp;width=800,https://vnhnaiduhall.com/cdn/shop/products/4_d68ef743-60ac-4eb3-872a-8830d3c8b253.jpg?v=1757273552&amp;width=800" TargetMode="External"/><Relationship Id="rId2" Type="http://schemas.openxmlformats.org/officeDocument/2006/relationships/hyperlink" Target="https://vnhnaiduhall.com/cdn/shop/files/3_367aae98-0174-457d-a1e1-7388728f2108.jpg?v=1757270674&amp;width=800,https://vnhnaiduhall.com/cdn/shop/files/4_3b3f125e-89f8-4d81-819a-65b8a9f9ca00.jpg?v=1757270675&amp;width=800" TargetMode="External"/><Relationship Id="rId1" Type="http://schemas.openxmlformats.org/officeDocument/2006/relationships/hyperlink" Target="https://vnhnaiduhall.com/cdn/shop/files/2_a4fec923-0062-40e8-aaaf-7dbeaacea6dd.jpg?v=1757270675&amp;width=800,https://vnhnaiduhall.com/cdn/shop/files/4_801ec279-6987-46ef-91c5-b79bd902a908.jpg?v=1757270675&amp;width=800" TargetMode="External"/><Relationship Id="rId6" Type="http://schemas.openxmlformats.org/officeDocument/2006/relationships/hyperlink" Target="https://vnhnaiduhall.com/cdn/shop/files/3_021e435b-7045-4df4-a469-ef77b6a219ca.jpg?v=1757271040&amp;width=800,https://vnhnaiduhall.com/cdn/shop/files/4_f3e232c7-1697-4c24-8387-0bf73b56b752.jpg?v=1757271041&amp;width=800" TargetMode="External"/><Relationship Id="rId11" Type="http://schemas.openxmlformats.org/officeDocument/2006/relationships/hyperlink" Target="https://vnhnaiduhall.com/cdn/shop/products/1_4ffbef4f-f1d6-40d1-a948-1c90c466b623.jpg?v=1757273662&amp;width=800,https://vnhnaiduhall.com/cdn/shop/products/4_1a4dbd6a-e737-420b-b4c5-0174367f92cd.jpg?v=1757273662&amp;width=800" TargetMode="External"/><Relationship Id="rId5" Type="http://schemas.openxmlformats.org/officeDocument/2006/relationships/hyperlink" Target="https://vnhnaiduhall.com/cdn/shop/files/1_be6f8133-5312-41ad-8f0d-b890cdc9c4db.jpg?v=1757271040&amp;width=800,https://vnhnaiduhall.com/cdn/shop/files/4_ecc4cee6-1ccb-4ee8-b3a0-1d1bc5e50011.jpg?v=1757271040&amp;width=800" TargetMode="External"/><Relationship Id="rId15" Type="http://schemas.openxmlformats.org/officeDocument/2006/relationships/hyperlink" Target="https://vnhnaiduhall.com/cdn/shop/products/1_d20458fd-35d2-4df8-bfd8-2cd4836fd191.jpg?v=1757272940&amp;width=800,https://vnhnaiduhall.com/cdn/shop/products/4_e5f957da-49b1-4462-a264-f20884cb3b37.jpg?v=1757272941&amp;width=800" TargetMode="External"/><Relationship Id="rId10" Type="http://schemas.openxmlformats.org/officeDocument/2006/relationships/hyperlink" Target="https://vnhnaiduhall.com/cdn/shop/files/1_3dd34e86-1493-4544-a3dd-107e1f8ca23a.jpg?v=1757271620&amp;width=800,https://vnhnaiduhall.com/cdn/shop/files/4_0959d6b9-e86a-409a-a604-c3a5be7a105c.jpg?v=1757271620&amp;width=800" TargetMode="External"/><Relationship Id="rId4" Type="http://schemas.openxmlformats.org/officeDocument/2006/relationships/hyperlink" Target="https://vnhnaiduhall.com/cdn/shop/files/1_2f406cfd-a46a-4866-a225-8158f15ec305.jpg?v=1757271038&amp;width=800,https://vnhnaiduhall.com/cdn/shop/files/4_0b3f815a-227b-47d4-844f-d60ebaddc691.jpg?v=1757271038&amp;width=800" TargetMode="External"/><Relationship Id="rId9" Type="http://schemas.openxmlformats.org/officeDocument/2006/relationships/hyperlink" Target="https://vnhnaiduhall.com/cdn/shop/files/1_9f5efa07-033a-44c4-a777-6d729700e2a1.jpg?v=1757271662&amp;width=800,https://vnhnaiduhall.com/cdn/shop/files/4_2e0625c0-358e-464d-8720-1f1b3cefce16.jpg?v=1757271662&amp;width=800" TargetMode="External"/><Relationship Id="rId14" Type="http://schemas.openxmlformats.org/officeDocument/2006/relationships/hyperlink" Target="https://vnhnaiduhall.com/cdn/shop/products/1_0cabf6d0-6eff-427f-b8c3-1a0b8d33796b.jpg?v=1757273591&amp;width=800,https://vnhnaiduhall.com/cdn/shop/products/4_469a80fa-e7fb-4667-8f6c-1e915b792a91.jpg?v=1757273592&amp;width=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9"/>
  <sheetViews>
    <sheetView tabSelected="1" topLeftCell="A92" workbookViewId="0">
      <selection activeCell="F102" sqref="F102"/>
    </sheetView>
  </sheetViews>
  <sheetFormatPr defaultColWidth="5"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.6" x14ac:dyDescent="0.3">
      <c r="A2" s="1" t="s">
        <v>10</v>
      </c>
      <c r="B2" s="2" t="s">
        <v>11</v>
      </c>
      <c r="C2" s="1" t="s">
        <v>12</v>
      </c>
      <c r="D2" s="1" t="s">
        <v>13</v>
      </c>
      <c r="E2" s="2" t="s">
        <v>14</v>
      </c>
      <c r="F2" s="1" t="s">
        <v>15</v>
      </c>
      <c r="G2" s="3" t="s">
        <v>16</v>
      </c>
      <c r="H2" t="s">
        <v>17</v>
      </c>
      <c r="I2" s="2" t="s">
        <v>18</v>
      </c>
      <c r="J2">
        <v>238.19</v>
      </c>
    </row>
    <row r="3" spans="1:10" ht="15.6" x14ac:dyDescent="0.3">
      <c r="A3" s="1" t="s">
        <v>10</v>
      </c>
      <c r="B3" s="2" t="s">
        <v>11</v>
      </c>
      <c r="C3" s="1" t="s">
        <v>12</v>
      </c>
      <c r="D3" s="1" t="s">
        <v>19</v>
      </c>
      <c r="E3" s="2" t="s">
        <v>20</v>
      </c>
      <c r="F3" s="1" t="s">
        <v>15</v>
      </c>
      <c r="G3" s="3" t="s">
        <v>16</v>
      </c>
      <c r="H3" t="s">
        <v>21</v>
      </c>
      <c r="I3" s="2" t="s">
        <v>22</v>
      </c>
      <c r="J3">
        <v>256.27999999999997</v>
      </c>
    </row>
    <row r="4" spans="1:10" ht="15.6" x14ac:dyDescent="0.3">
      <c r="A4" s="1" t="s">
        <v>10</v>
      </c>
      <c r="B4" s="2" t="s">
        <v>11</v>
      </c>
      <c r="C4" s="1" t="s">
        <v>12</v>
      </c>
      <c r="D4" s="1" t="s">
        <v>19</v>
      </c>
      <c r="E4" s="2" t="s">
        <v>23</v>
      </c>
      <c r="F4" s="1" t="s">
        <v>15</v>
      </c>
      <c r="G4" s="3" t="s">
        <v>16</v>
      </c>
      <c r="H4" t="s">
        <v>24</v>
      </c>
      <c r="I4" s="2" t="s">
        <v>25</v>
      </c>
      <c r="J4">
        <v>265.33</v>
      </c>
    </row>
    <row r="5" spans="1:10" ht="15.6" x14ac:dyDescent="0.3">
      <c r="A5" s="1" t="s">
        <v>10</v>
      </c>
      <c r="B5" s="2" t="s">
        <v>26</v>
      </c>
      <c r="C5" s="1" t="s">
        <v>27</v>
      </c>
      <c r="D5" s="1" t="s">
        <v>13</v>
      </c>
      <c r="E5" s="2" t="s">
        <v>14</v>
      </c>
      <c r="F5" s="1" t="s">
        <v>28</v>
      </c>
      <c r="G5" s="3" t="s">
        <v>29</v>
      </c>
      <c r="H5" t="s">
        <v>30</v>
      </c>
      <c r="I5" t="s">
        <v>31</v>
      </c>
      <c r="J5">
        <v>247.24</v>
      </c>
    </row>
    <row r="6" spans="1:10" ht="15.6" x14ac:dyDescent="0.3">
      <c r="A6" s="1" t="s">
        <v>10</v>
      </c>
      <c r="B6" s="2" t="s">
        <v>26</v>
      </c>
      <c r="C6" s="1" t="s">
        <v>27</v>
      </c>
      <c r="D6" s="1" t="s">
        <v>19</v>
      </c>
      <c r="E6" s="2" t="s">
        <v>20</v>
      </c>
      <c r="F6" s="1" t="s">
        <v>28</v>
      </c>
      <c r="G6" s="3" t="s">
        <v>29</v>
      </c>
      <c r="H6" t="s">
        <v>21</v>
      </c>
      <c r="I6" t="s">
        <v>22</v>
      </c>
      <c r="J6">
        <v>256.27999999999997</v>
      </c>
    </row>
    <row r="7" spans="1:10" ht="15.6" x14ac:dyDescent="0.3">
      <c r="A7" s="1" t="s">
        <v>10</v>
      </c>
      <c r="B7" s="2" t="s">
        <v>26</v>
      </c>
      <c r="C7" s="1" t="s">
        <v>27</v>
      </c>
      <c r="D7" s="1" t="s">
        <v>19</v>
      </c>
      <c r="E7" s="2" t="s">
        <v>23</v>
      </c>
      <c r="F7" s="1" t="s">
        <v>28</v>
      </c>
      <c r="G7" s="3" t="s">
        <v>29</v>
      </c>
      <c r="H7" t="s">
        <v>32</v>
      </c>
      <c r="I7" t="s">
        <v>33</v>
      </c>
      <c r="J7">
        <v>274.37</v>
      </c>
    </row>
    <row r="8" spans="1:10" ht="15.6" x14ac:dyDescent="0.3">
      <c r="A8" s="1" t="s">
        <v>10</v>
      </c>
      <c r="B8" s="2" t="s">
        <v>34</v>
      </c>
      <c r="C8" s="1" t="s">
        <v>35</v>
      </c>
      <c r="D8" s="1" t="s">
        <v>13</v>
      </c>
      <c r="E8" s="2" t="s">
        <v>14</v>
      </c>
      <c r="F8" s="1" t="s">
        <v>15</v>
      </c>
      <c r="G8" s="3" t="s">
        <v>36</v>
      </c>
      <c r="H8" t="s">
        <v>17</v>
      </c>
      <c r="I8" t="s">
        <v>18</v>
      </c>
      <c r="J8">
        <v>238.19</v>
      </c>
    </row>
    <row r="9" spans="1:10" ht="15.6" x14ac:dyDescent="0.3">
      <c r="A9" s="1" t="s">
        <v>10</v>
      </c>
      <c r="B9" s="2" t="s">
        <v>34</v>
      </c>
      <c r="C9" s="1" t="s">
        <v>35</v>
      </c>
      <c r="D9" s="1" t="s">
        <v>19</v>
      </c>
      <c r="E9" s="2" t="s">
        <v>20</v>
      </c>
      <c r="F9" s="1" t="s">
        <v>15</v>
      </c>
      <c r="G9" s="3" t="s">
        <v>36</v>
      </c>
      <c r="H9" t="s">
        <v>24</v>
      </c>
      <c r="I9" t="s">
        <v>25</v>
      </c>
      <c r="J9">
        <v>265.33</v>
      </c>
    </row>
    <row r="10" spans="1:10" ht="15.6" x14ac:dyDescent="0.3">
      <c r="A10" s="1" t="s">
        <v>10</v>
      </c>
      <c r="B10" s="2" t="s">
        <v>34</v>
      </c>
      <c r="C10" s="1" t="s">
        <v>35</v>
      </c>
      <c r="D10" s="1" t="s">
        <v>19</v>
      </c>
      <c r="E10" s="2" t="s">
        <v>23</v>
      </c>
      <c r="F10" s="1" t="s">
        <v>15</v>
      </c>
      <c r="G10" s="3" t="s">
        <v>36</v>
      </c>
      <c r="H10" t="s">
        <v>37</v>
      </c>
      <c r="I10" t="s">
        <v>38</v>
      </c>
      <c r="J10">
        <v>277.39</v>
      </c>
    </row>
    <row r="11" spans="1:10" ht="15.6" x14ac:dyDescent="0.3">
      <c r="A11" s="1" t="s">
        <v>10</v>
      </c>
      <c r="B11" s="2" t="s">
        <v>39</v>
      </c>
      <c r="C11" s="1" t="s">
        <v>40</v>
      </c>
      <c r="D11" s="1" t="s">
        <v>13</v>
      </c>
      <c r="E11" s="2" t="s">
        <v>14</v>
      </c>
      <c r="F11" s="1" t="s">
        <v>28</v>
      </c>
      <c r="G11" s="3" t="s">
        <v>41</v>
      </c>
      <c r="H11" t="s">
        <v>30</v>
      </c>
      <c r="I11" t="s">
        <v>31</v>
      </c>
      <c r="J11">
        <v>247.24</v>
      </c>
    </row>
    <row r="12" spans="1:10" ht="15.6" x14ac:dyDescent="0.3">
      <c r="A12" s="1" t="s">
        <v>10</v>
      </c>
      <c r="B12" s="2" t="s">
        <v>39</v>
      </c>
      <c r="C12" s="1" t="s">
        <v>40</v>
      </c>
      <c r="D12" s="1" t="s">
        <v>19</v>
      </c>
      <c r="E12" s="2" t="s">
        <v>20</v>
      </c>
      <c r="F12" s="1" t="s">
        <v>28</v>
      </c>
      <c r="G12" s="3" t="s">
        <v>41</v>
      </c>
      <c r="H12" t="s">
        <v>42</v>
      </c>
      <c r="I12" t="s">
        <v>43</v>
      </c>
      <c r="J12">
        <v>271.36</v>
      </c>
    </row>
    <row r="13" spans="1:10" ht="15.6" x14ac:dyDescent="0.3">
      <c r="A13" s="1" t="s">
        <v>10</v>
      </c>
      <c r="B13" s="2" t="s">
        <v>39</v>
      </c>
      <c r="C13" s="1" t="s">
        <v>40</v>
      </c>
      <c r="D13" s="1" t="s">
        <v>19</v>
      </c>
      <c r="E13" s="2" t="s">
        <v>23</v>
      </c>
      <c r="F13" s="1" t="s">
        <v>28</v>
      </c>
      <c r="G13" s="3" t="s">
        <v>41</v>
      </c>
      <c r="H13" t="s">
        <v>44</v>
      </c>
      <c r="I13" t="s">
        <v>45</v>
      </c>
      <c r="J13">
        <v>283.42</v>
      </c>
    </row>
    <row r="14" spans="1:10" ht="15.6" x14ac:dyDescent="0.3">
      <c r="A14" s="1" t="s">
        <v>46</v>
      </c>
      <c r="B14" s="2" t="s">
        <v>47</v>
      </c>
      <c r="C14" s="1" t="s">
        <v>48</v>
      </c>
      <c r="D14" s="1" t="s">
        <v>49</v>
      </c>
      <c r="E14" s="2" t="s">
        <v>14</v>
      </c>
      <c r="F14" s="1" t="s">
        <v>50</v>
      </c>
      <c r="G14" s="3" t="s">
        <v>51</v>
      </c>
      <c r="H14" t="s">
        <v>52</v>
      </c>
      <c r="I14" s="2" t="s">
        <v>53</v>
      </c>
      <c r="J14">
        <v>117.59</v>
      </c>
    </row>
    <row r="15" spans="1:10" ht="15.6" x14ac:dyDescent="0.3">
      <c r="A15" s="1" t="s">
        <v>46</v>
      </c>
      <c r="B15" s="2" t="s">
        <v>47</v>
      </c>
      <c r="C15" s="1" t="s">
        <v>48</v>
      </c>
      <c r="D15" s="1" t="s">
        <v>49</v>
      </c>
      <c r="E15" s="2" t="s">
        <v>14</v>
      </c>
      <c r="F15" s="1" t="s">
        <v>54</v>
      </c>
      <c r="G15" s="3" t="s">
        <v>55</v>
      </c>
      <c r="H15" t="s">
        <v>52</v>
      </c>
      <c r="I15" s="2" t="s">
        <v>53</v>
      </c>
      <c r="J15">
        <v>117.59</v>
      </c>
    </row>
    <row r="16" spans="1:10" ht="15.6" x14ac:dyDescent="0.3">
      <c r="A16" s="1" t="s">
        <v>46</v>
      </c>
      <c r="B16" s="2" t="s">
        <v>56</v>
      </c>
      <c r="C16" s="1" t="s">
        <v>58</v>
      </c>
      <c r="D16" s="1" t="s">
        <v>49</v>
      </c>
      <c r="E16" s="2" t="s">
        <v>14</v>
      </c>
      <c r="F16" s="1" t="s">
        <v>50</v>
      </c>
      <c r="G16" s="3" t="s">
        <v>62</v>
      </c>
      <c r="H16" t="s">
        <v>59</v>
      </c>
      <c r="I16" s="2" t="s">
        <v>60</v>
      </c>
      <c r="J16">
        <v>177.89</v>
      </c>
    </row>
    <row r="17" spans="1:10" ht="15.6" x14ac:dyDescent="0.3">
      <c r="A17" s="1" t="s">
        <v>46</v>
      </c>
      <c r="B17" s="2" t="s">
        <v>56</v>
      </c>
      <c r="C17" s="1" t="s">
        <v>58</v>
      </c>
      <c r="D17" s="1" t="s">
        <v>49</v>
      </c>
      <c r="E17" s="2" t="s">
        <v>14</v>
      </c>
      <c r="F17" s="1" t="s">
        <v>54</v>
      </c>
      <c r="G17" s="3" t="s">
        <v>61</v>
      </c>
      <c r="H17" t="s">
        <v>59</v>
      </c>
      <c r="I17" s="2" t="s">
        <v>60</v>
      </c>
      <c r="J17">
        <v>177.89</v>
      </c>
    </row>
    <row r="18" spans="1:10" ht="15.6" x14ac:dyDescent="0.3">
      <c r="A18" s="1" t="s">
        <v>46</v>
      </c>
      <c r="B18" s="2" t="s">
        <v>57</v>
      </c>
      <c r="C18" s="1" t="s">
        <v>63</v>
      </c>
      <c r="D18" s="1" t="s">
        <v>49</v>
      </c>
      <c r="E18" s="2" t="s">
        <v>14</v>
      </c>
      <c r="F18" s="1" t="s">
        <v>50</v>
      </c>
      <c r="G18" s="3" t="s">
        <v>67</v>
      </c>
      <c r="H18" t="s">
        <v>64</v>
      </c>
      <c r="I18" s="2" t="s">
        <v>65</v>
      </c>
      <c r="J18">
        <v>165.83</v>
      </c>
    </row>
    <row r="19" spans="1:10" ht="15.6" x14ac:dyDescent="0.3">
      <c r="A19" s="1" t="s">
        <v>46</v>
      </c>
      <c r="B19" s="2" t="s">
        <v>57</v>
      </c>
      <c r="C19" s="1" t="s">
        <v>63</v>
      </c>
      <c r="D19" s="1" t="s">
        <v>49</v>
      </c>
      <c r="E19" s="2" t="s">
        <v>14</v>
      </c>
      <c r="F19" s="1" t="s">
        <v>54</v>
      </c>
      <c r="G19" s="3" t="s">
        <v>66</v>
      </c>
      <c r="H19" t="s">
        <v>64</v>
      </c>
      <c r="I19" s="2" t="s">
        <v>65</v>
      </c>
      <c r="J19">
        <v>165.83</v>
      </c>
    </row>
    <row r="20" spans="1:10" ht="15.6" x14ac:dyDescent="0.3">
      <c r="A20" s="1" t="s">
        <v>68</v>
      </c>
      <c r="B20" s="2" t="s">
        <v>69</v>
      </c>
      <c r="C20" s="1" t="s">
        <v>70</v>
      </c>
      <c r="D20" s="1" t="s">
        <v>49</v>
      </c>
      <c r="E20" s="2" t="s">
        <v>73</v>
      </c>
      <c r="F20" s="1" t="s">
        <v>50</v>
      </c>
      <c r="G20" s="3" t="s">
        <v>82</v>
      </c>
      <c r="H20" t="s">
        <v>71</v>
      </c>
      <c r="I20" t="s">
        <v>72</v>
      </c>
      <c r="J20">
        <v>479.39</v>
      </c>
    </row>
    <row r="21" spans="1:10" ht="15.6" x14ac:dyDescent="0.3">
      <c r="A21" s="1" t="s">
        <v>68</v>
      </c>
      <c r="B21" s="2" t="s">
        <v>69</v>
      </c>
      <c r="C21" s="1" t="s">
        <v>70</v>
      </c>
      <c r="D21" s="1" t="s">
        <v>49</v>
      </c>
      <c r="E21" s="2" t="s">
        <v>73</v>
      </c>
      <c r="F21" s="1" t="s">
        <v>74</v>
      </c>
      <c r="G21" s="4" t="s">
        <v>83</v>
      </c>
      <c r="H21" t="s">
        <v>71</v>
      </c>
      <c r="I21" t="s">
        <v>72</v>
      </c>
      <c r="J21">
        <v>479.39</v>
      </c>
    </row>
    <row r="22" spans="1:10" x14ac:dyDescent="0.3">
      <c r="A22" s="1" t="s">
        <v>68</v>
      </c>
      <c r="B22" s="2" t="s">
        <v>69</v>
      </c>
      <c r="C22" s="1" t="s">
        <v>70</v>
      </c>
      <c r="D22" s="1" t="s">
        <v>49</v>
      </c>
      <c r="E22" s="2" t="s">
        <v>73</v>
      </c>
      <c r="F22" s="1" t="s">
        <v>75</v>
      </c>
      <c r="H22" t="s">
        <v>71</v>
      </c>
      <c r="I22" t="s">
        <v>72</v>
      </c>
      <c r="J22">
        <v>479.39</v>
      </c>
    </row>
    <row r="23" spans="1:10" x14ac:dyDescent="0.3">
      <c r="A23" s="1" t="s">
        <v>68</v>
      </c>
      <c r="B23" s="2" t="s">
        <v>69</v>
      </c>
      <c r="C23" s="1" t="s">
        <v>70</v>
      </c>
      <c r="D23" s="1" t="s">
        <v>49</v>
      </c>
      <c r="E23" s="2" t="s">
        <v>73</v>
      </c>
      <c r="F23" s="1" t="s">
        <v>76</v>
      </c>
      <c r="H23" t="s">
        <v>71</v>
      </c>
      <c r="I23" t="s">
        <v>72</v>
      </c>
      <c r="J23">
        <v>479.39</v>
      </c>
    </row>
    <row r="24" spans="1:10" x14ac:dyDescent="0.3">
      <c r="A24" s="1" t="s">
        <v>68</v>
      </c>
      <c r="B24" s="2" t="s">
        <v>69</v>
      </c>
      <c r="C24" s="1" t="s">
        <v>70</v>
      </c>
      <c r="D24" s="1" t="s">
        <v>49</v>
      </c>
      <c r="E24" s="2" t="s">
        <v>73</v>
      </c>
      <c r="F24" s="1" t="s">
        <v>77</v>
      </c>
      <c r="H24" t="s">
        <v>71</v>
      </c>
      <c r="I24" t="s">
        <v>72</v>
      </c>
      <c r="J24">
        <v>479.39</v>
      </c>
    </row>
    <row r="25" spans="1:10" x14ac:dyDescent="0.3">
      <c r="A25" s="1" t="s">
        <v>68</v>
      </c>
      <c r="B25" s="2" t="s">
        <v>69</v>
      </c>
      <c r="C25" s="1" t="s">
        <v>70</v>
      </c>
      <c r="D25" s="1" t="s">
        <v>49</v>
      </c>
      <c r="E25" s="2" t="s">
        <v>73</v>
      </c>
      <c r="F25" s="1" t="s">
        <v>78</v>
      </c>
      <c r="H25" t="s">
        <v>71</v>
      </c>
      <c r="I25" t="s">
        <v>72</v>
      </c>
      <c r="J25">
        <v>479.39</v>
      </c>
    </row>
    <row r="26" spans="1:10" x14ac:dyDescent="0.3">
      <c r="A26" s="1" t="s">
        <v>68</v>
      </c>
      <c r="B26" s="2" t="s">
        <v>69</v>
      </c>
      <c r="C26" s="1" t="s">
        <v>70</v>
      </c>
      <c r="D26" s="1" t="s">
        <v>49</v>
      </c>
      <c r="E26" s="2" t="s">
        <v>73</v>
      </c>
      <c r="F26" s="1" t="s">
        <v>79</v>
      </c>
      <c r="H26" t="s">
        <v>71</v>
      </c>
      <c r="I26" t="s">
        <v>72</v>
      </c>
      <c r="J26">
        <v>479.39</v>
      </c>
    </row>
    <row r="27" spans="1:10" x14ac:dyDescent="0.3">
      <c r="A27" s="1" t="s">
        <v>68</v>
      </c>
      <c r="B27" s="2" t="s">
        <v>69</v>
      </c>
      <c r="C27" s="1" t="s">
        <v>70</v>
      </c>
      <c r="D27" s="1" t="s">
        <v>49</v>
      </c>
      <c r="E27" s="2" t="s">
        <v>73</v>
      </c>
      <c r="F27" s="1" t="s">
        <v>80</v>
      </c>
      <c r="H27" t="s">
        <v>71</v>
      </c>
      <c r="I27" t="s">
        <v>72</v>
      </c>
      <c r="J27">
        <v>479.39</v>
      </c>
    </row>
    <row r="28" spans="1:10" ht="15.6" x14ac:dyDescent="0.3">
      <c r="A28" s="1" t="s">
        <v>68</v>
      </c>
      <c r="B28" s="2" t="s">
        <v>69</v>
      </c>
      <c r="C28" s="1" t="s">
        <v>70</v>
      </c>
      <c r="D28" s="1" t="s">
        <v>49</v>
      </c>
      <c r="E28" s="2" t="s">
        <v>73</v>
      </c>
      <c r="F28" s="1" t="s">
        <v>81</v>
      </c>
      <c r="G28" s="4" t="s">
        <v>84</v>
      </c>
      <c r="H28" t="s">
        <v>71</v>
      </c>
      <c r="I28" t="s">
        <v>72</v>
      </c>
      <c r="J28">
        <v>479.39</v>
      </c>
    </row>
    <row r="29" spans="1:10" ht="15.6" x14ac:dyDescent="0.3">
      <c r="A29" s="1" t="s">
        <v>68</v>
      </c>
      <c r="B29" s="2" t="s">
        <v>85</v>
      </c>
      <c r="C29" s="1" t="s">
        <v>70</v>
      </c>
      <c r="D29" s="1" t="s">
        <v>49</v>
      </c>
      <c r="E29" s="2" t="s">
        <v>14</v>
      </c>
      <c r="F29" s="1" t="s">
        <v>86</v>
      </c>
      <c r="G29" s="3" t="s">
        <v>93</v>
      </c>
      <c r="H29" t="s">
        <v>91</v>
      </c>
      <c r="I29" t="s">
        <v>92</v>
      </c>
      <c r="J29">
        <v>419.09</v>
      </c>
    </row>
    <row r="30" spans="1:10" x14ac:dyDescent="0.3">
      <c r="A30" s="1" t="s">
        <v>68</v>
      </c>
      <c r="B30" s="2" t="s">
        <v>85</v>
      </c>
      <c r="C30" s="1" t="s">
        <v>70</v>
      </c>
      <c r="D30" s="1" t="s">
        <v>49</v>
      </c>
      <c r="E30" s="2" t="s">
        <v>14</v>
      </c>
      <c r="F30" s="1" t="s">
        <v>87</v>
      </c>
      <c r="H30" t="s">
        <v>91</v>
      </c>
      <c r="I30" t="s">
        <v>92</v>
      </c>
      <c r="J30">
        <v>419.09</v>
      </c>
    </row>
    <row r="31" spans="1:10" x14ac:dyDescent="0.3">
      <c r="A31" s="1" t="s">
        <v>68</v>
      </c>
      <c r="B31" s="2" t="s">
        <v>85</v>
      </c>
      <c r="C31" s="1" t="s">
        <v>70</v>
      </c>
      <c r="D31" s="1" t="s">
        <v>49</v>
      </c>
      <c r="E31" s="2" t="s">
        <v>14</v>
      </c>
      <c r="F31" s="1" t="s">
        <v>88</v>
      </c>
      <c r="H31" t="s">
        <v>91</v>
      </c>
      <c r="I31" t="s">
        <v>92</v>
      </c>
      <c r="J31">
        <v>419.09</v>
      </c>
    </row>
    <row r="32" spans="1:10" x14ac:dyDescent="0.3">
      <c r="A32" s="1" t="s">
        <v>68</v>
      </c>
      <c r="B32" s="2" t="s">
        <v>85</v>
      </c>
      <c r="C32" s="1" t="s">
        <v>70</v>
      </c>
      <c r="D32" s="1" t="s">
        <v>49</v>
      </c>
      <c r="E32" s="2" t="s">
        <v>14</v>
      </c>
      <c r="F32" s="1" t="s">
        <v>89</v>
      </c>
      <c r="H32" t="s">
        <v>91</v>
      </c>
      <c r="I32" t="s">
        <v>92</v>
      </c>
      <c r="J32">
        <v>419.09</v>
      </c>
    </row>
    <row r="33" spans="1:10" x14ac:dyDescent="0.3">
      <c r="A33" s="1" t="s">
        <v>68</v>
      </c>
      <c r="B33" s="2" t="s">
        <v>85</v>
      </c>
      <c r="C33" s="1" t="s">
        <v>70</v>
      </c>
      <c r="D33" s="1" t="s">
        <v>49</v>
      </c>
      <c r="E33" s="2" t="s">
        <v>14</v>
      </c>
      <c r="F33" s="1" t="s">
        <v>76</v>
      </c>
      <c r="H33" t="s">
        <v>91</v>
      </c>
      <c r="I33" t="s">
        <v>92</v>
      </c>
      <c r="J33">
        <v>419.09</v>
      </c>
    </row>
    <row r="34" spans="1:10" x14ac:dyDescent="0.3">
      <c r="A34" s="1" t="s">
        <v>68</v>
      </c>
      <c r="B34" s="2" t="s">
        <v>85</v>
      </c>
      <c r="C34" s="1" t="s">
        <v>70</v>
      </c>
      <c r="D34" s="1" t="s">
        <v>49</v>
      </c>
      <c r="F34" s="1" t="s">
        <v>90</v>
      </c>
      <c r="H34" t="s">
        <v>91</v>
      </c>
      <c r="I34" t="s">
        <v>92</v>
      </c>
      <c r="J34">
        <v>419.09</v>
      </c>
    </row>
    <row r="35" spans="1:10" x14ac:dyDescent="0.3">
      <c r="A35" s="1" t="s">
        <v>68</v>
      </c>
      <c r="B35" s="2" t="s">
        <v>85</v>
      </c>
      <c r="C35" s="1" t="s">
        <v>70</v>
      </c>
      <c r="D35" s="1" t="s">
        <v>49</v>
      </c>
      <c r="E35" s="2" t="s">
        <v>14</v>
      </c>
      <c r="F35" s="1" t="s">
        <v>79</v>
      </c>
      <c r="H35" t="s">
        <v>91</v>
      </c>
      <c r="I35" t="s">
        <v>92</v>
      </c>
      <c r="J35">
        <v>419.09</v>
      </c>
    </row>
    <row r="36" spans="1:10" x14ac:dyDescent="0.3">
      <c r="A36" s="1" t="s">
        <v>68</v>
      </c>
      <c r="B36" s="2" t="s">
        <v>85</v>
      </c>
      <c r="C36" s="1" t="s">
        <v>70</v>
      </c>
      <c r="D36" s="1" t="s">
        <v>49</v>
      </c>
      <c r="E36" s="2" t="s">
        <v>14</v>
      </c>
      <c r="F36" s="1" t="s">
        <v>80</v>
      </c>
      <c r="H36" t="s">
        <v>91</v>
      </c>
      <c r="I36" t="s">
        <v>92</v>
      </c>
      <c r="J36">
        <v>419.09</v>
      </c>
    </row>
    <row r="37" spans="1:10" ht="15.6" x14ac:dyDescent="0.3">
      <c r="A37" s="1" t="s">
        <v>94</v>
      </c>
      <c r="B37" s="2" t="s">
        <v>95</v>
      </c>
      <c r="C37" s="1" t="s">
        <v>96</v>
      </c>
      <c r="D37" s="1" t="s">
        <v>49</v>
      </c>
      <c r="E37" s="2" t="s">
        <v>97</v>
      </c>
      <c r="F37" s="1" t="s">
        <v>98</v>
      </c>
      <c r="G37" s="3" t="s">
        <v>107</v>
      </c>
      <c r="H37" s="5" t="str">
        <f t="shared" ref="H37:H49" si="0">"390"</f>
        <v>390</v>
      </c>
      <c r="I37" s="5" t="str">
        <f t="shared" ref="I37:I49" si="1">"261.31"</f>
        <v>261.31</v>
      </c>
      <c r="J37" s="5">
        <v>235.18</v>
      </c>
    </row>
    <row r="38" spans="1:10" x14ac:dyDescent="0.3">
      <c r="A38" s="1" t="s">
        <v>94</v>
      </c>
      <c r="B38" s="2" t="s">
        <v>95</v>
      </c>
      <c r="C38" s="1" t="s">
        <v>96</v>
      </c>
      <c r="D38" s="1" t="s">
        <v>49</v>
      </c>
      <c r="E38" s="2" t="s">
        <v>97</v>
      </c>
      <c r="F38" s="1" t="s">
        <v>99</v>
      </c>
      <c r="H38" s="5" t="str">
        <f t="shared" si="0"/>
        <v>390</v>
      </c>
      <c r="I38" s="5" t="str">
        <f t="shared" si="1"/>
        <v>261.31</v>
      </c>
      <c r="J38" s="5">
        <v>235.18</v>
      </c>
    </row>
    <row r="39" spans="1:10" x14ac:dyDescent="0.3">
      <c r="A39" s="1" t="s">
        <v>94</v>
      </c>
      <c r="B39" s="2" t="s">
        <v>95</v>
      </c>
      <c r="C39" s="1" t="s">
        <v>96</v>
      </c>
      <c r="D39" s="1" t="s">
        <v>49</v>
      </c>
      <c r="E39" s="2" t="s">
        <v>97</v>
      </c>
      <c r="F39" s="1" t="s">
        <v>50</v>
      </c>
      <c r="H39" s="5" t="str">
        <f t="shared" si="0"/>
        <v>390</v>
      </c>
      <c r="I39" s="5" t="str">
        <f t="shared" si="1"/>
        <v>261.31</v>
      </c>
      <c r="J39" s="5">
        <v>235.18</v>
      </c>
    </row>
    <row r="40" spans="1:10" x14ac:dyDescent="0.3">
      <c r="A40" s="1" t="s">
        <v>94</v>
      </c>
      <c r="B40" s="2" t="s">
        <v>95</v>
      </c>
      <c r="C40" s="1" t="s">
        <v>96</v>
      </c>
      <c r="D40" s="1" t="s">
        <v>49</v>
      </c>
      <c r="E40" s="2" t="s">
        <v>97</v>
      </c>
      <c r="F40" s="1" t="s">
        <v>74</v>
      </c>
      <c r="H40" s="5" t="str">
        <f t="shared" si="0"/>
        <v>390</v>
      </c>
      <c r="I40" s="5" t="str">
        <f t="shared" si="1"/>
        <v>261.31</v>
      </c>
      <c r="J40" s="5">
        <v>235.18</v>
      </c>
    </row>
    <row r="41" spans="1:10" x14ac:dyDescent="0.3">
      <c r="A41" s="1" t="s">
        <v>94</v>
      </c>
      <c r="B41" s="2" t="s">
        <v>95</v>
      </c>
      <c r="C41" s="1" t="s">
        <v>96</v>
      </c>
      <c r="D41" s="1" t="s">
        <v>49</v>
      </c>
      <c r="E41" s="2" t="s">
        <v>97</v>
      </c>
      <c r="F41" s="1" t="s">
        <v>100</v>
      </c>
      <c r="H41" s="5" t="str">
        <f t="shared" si="0"/>
        <v>390</v>
      </c>
      <c r="I41" s="5" t="str">
        <f t="shared" si="1"/>
        <v>261.31</v>
      </c>
      <c r="J41" s="5">
        <v>235.18</v>
      </c>
    </row>
    <row r="42" spans="1:10" x14ac:dyDescent="0.3">
      <c r="A42" s="1" t="s">
        <v>94</v>
      </c>
      <c r="B42" s="2" t="s">
        <v>95</v>
      </c>
      <c r="C42" s="1" t="s">
        <v>96</v>
      </c>
      <c r="D42" s="1" t="s">
        <v>49</v>
      </c>
      <c r="E42" s="2" t="s">
        <v>97</v>
      </c>
      <c r="F42" s="1" t="s">
        <v>101</v>
      </c>
      <c r="H42" s="5" t="str">
        <f t="shared" si="0"/>
        <v>390</v>
      </c>
      <c r="I42" s="5" t="str">
        <f t="shared" si="1"/>
        <v>261.31</v>
      </c>
      <c r="J42" s="5">
        <v>235.18</v>
      </c>
    </row>
    <row r="43" spans="1:10" x14ac:dyDescent="0.3">
      <c r="A43" s="1" t="s">
        <v>94</v>
      </c>
      <c r="B43" s="2" t="s">
        <v>95</v>
      </c>
      <c r="C43" s="1" t="s">
        <v>96</v>
      </c>
      <c r="D43" s="1" t="s">
        <v>49</v>
      </c>
      <c r="E43" s="2" t="s">
        <v>97</v>
      </c>
      <c r="F43" s="1" t="s">
        <v>102</v>
      </c>
      <c r="H43" s="5" t="str">
        <f t="shared" si="0"/>
        <v>390</v>
      </c>
      <c r="I43" s="5" t="str">
        <f t="shared" si="1"/>
        <v>261.31</v>
      </c>
      <c r="J43" s="5">
        <v>235.18</v>
      </c>
    </row>
    <row r="44" spans="1:10" x14ac:dyDescent="0.3">
      <c r="A44" s="1" t="s">
        <v>94</v>
      </c>
      <c r="B44" s="2" t="s">
        <v>95</v>
      </c>
      <c r="C44" s="1" t="s">
        <v>96</v>
      </c>
      <c r="D44" s="1" t="s">
        <v>49</v>
      </c>
      <c r="E44" s="2" t="s">
        <v>97</v>
      </c>
      <c r="F44" s="1" t="s">
        <v>103</v>
      </c>
      <c r="H44" s="5" t="str">
        <f t="shared" si="0"/>
        <v>390</v>
      </c>
      <c r="I44" s="5" t="str">
        <f t="shared" si="1"/>
        <v>261.31</v>
      </c>
      <c r="J44" s="5">
        <v>235.18</v>
      </c>
    </row>
    <row r="45" spans="1:10" x14ac:dyDescent="0.3">
      <c r="A45" s="1" t="s">
        <v>94</v>
      </c>
      <c r="B45" s="2" t="s">
        <v>95</v>
      </c>
      <c r="C45" s="1" t="s">
        <v>96</v>
      </c>
      <c r="D45" s="1" t="s">
        <v>49</v>
      </c>
      <c r="E45" s="2" t="s">
        <v>97</v>
      </c>
      <c r="F45" s="1" t="s">
        <v>104</v>
      </c>
      <c r="H45" s="5" t="str">
        <f t="shared" si="0"/>
        <v>390</v>
      </c>
      <c r="I45" s="5" t="str">
        <f t="shared" si="1"/>
        <v>261.31</v>
      </c>
      <c r="J45" s="5">
        <v>235.18</v>
      </c>
    </row>
    <row r="46" spans="1:10" x14ac:dyDescent="0.3">
      <c r="A46" s="1" t="s">
        <v>94</v>
      </c>
      <c r="B46" s="2" t="s">
        <v>95</v>
      </c>
      <c r="C46" s="1" t="s">
        <v>96</v>
      </c>
      <c r="D46" s="1" t="s">
        <v>49</v>
      </c>
      <c r="E46" s="2" t="s">
        <v>97</v>
      </c>
      <c r="F46" s="1" t="s">
        <v>105</v>
      </c>
      <c r="H46" s="5" t="str">
        <f t="shared" si="0"/>
        <v>390</v>
      </c>
      <c r="I46" s="5" t="str">
        <f t="shared" si="1"/>
        <v>261.31</v>
      </c>
      <c r="J46" s="5">
        <v>235.18</v>
      </c>
    </row>
    <row r="47" spans="1:10" x14ac:dyDescent="0.3">
      <c r="A47" s="1" t="s">
        <v>94</v>
      </c>
      <c r="B47" s="2" t="s">
        <v>95</v>
      </c>
      <c r="C47" s="1" t="s">
        <v>96</v>
      </c>
      <c r="D47" s="1" t="s">
        <v>49</v>
      </c>
      <c r="E47" s="2" t="s">
        <v>97</v>
      </c>
      <c r="F47" s="1" t="s">
        <v>79</v>
      </c>
      <c r="H47" s="5" t="str">
        <f t="shared" si="0"/>
        <v>390</v>
      </c>
      <c r="I47" s="5" t="str">
        <f t="shared" si="1"/>
        <v>261.31</v>
      </c>
      <c r="J47" s="5">
        <v>235.18</v>
      </c>
    </row>
    <row r="48" spans="1:10" x14ac:dyDescent="0.3">
      <c r="A48" s="1" t="s">
        <v>94</v>
      </c>
      <c r="B48" s="2" t="s">
        <v>95</v>
      </c>
      <c r="C48" s="1" t="s">
        <v>96</v>
      </c>
      <c r="D48" s="1" t="s">
        <v>49</v>
      </c>
      <c r="E48" s="2" t="s">
        <v>97</v>
      </c>
      <c r="F48" s="1" t="s">
        <v>81</v>
      </c>
      <c r="H48" s="5" t="str">
        <f t="shared" si="0"/>
        <v>390</v>
      </c>
      <c r="I48" s="5" t="str">
        <f t="shared" si="1"/>
        <v>261.31</v>
      </c>
      <c r="J48" s="5">
        <v>235.18</v>
      </c>
    </row>
    <row r="49" spans="1:10" x14ac:dyDescent="0.3">
      <c r="A49" s="1" t="s">
        <v>94</v>
      </c>
      <c r="B49" s="2" t="s">
        <v>95</v>
      </c>
      <c r="C49" s="1" t="s">
        <v>96</v>
      </c>
      <c r="D49" s="1" t="s">
        <v>49</v>
      </c>
      <c r="E49" s="2" t="s">
        <v>97</v>
      </c>
      <c r="F49" s="1" t="s">
        <v>106</v>
      </c>
      <c r="H49" s="5" t="str">
        <f t="shared" si="0"/>
        <v>390</v>
      </c>
      <c r="I49" s="5" t="str">
        <f t="shared" si="1"/>
        <v>261.31</v>
      </c>
      <c r="J49" s="5">
        <v>235.18</v>
      </c>
    </row>
    <row r="50" spans="1:10" ht="15.6" x14ac:dyDescent="0.3">
      <c r="A50" s="1" t="s">
        <v>94</v>
      </c>
      <c r="B50" s="2" t="s">
        <v>108</v>
      </c>
      <c r="C50" s="1" t="s">
        <v>109</v>
      </c>
      <c r="D50" s="1" t="s">
        <v>49</v>
      </c>
      <c r="E50" s="2" t="s">
        <v>97</v>
      </c>
      <c r="F50" s="1" t="s">
        <v>98</v>
      </c>
      <c r="G50" s="3" t="s">
        <v>110</v>
      </c>
      <c r="H50" s="5" t="str">
        <f t="shared" ref="H50:H62" si="2">"460"</f>
        <v>460</v>
      </c>
      <c r="I50" s="5" t="str">
        <f t="shared" ref="I50:I62" si="3">"308.21"</f>
        <v>308.21</v>
      </c>
      <c r="J50" s="5">
        <v>277.39</v>
      </c>
    </row>
    <row r="51" spans="1:10" x14ac:dyDescent="0.3">
      <c r="A51" s="1" t="s">
        <v>94</v>
      </c>
      <c r="B51" s="2" t="s">
        <v>108</v>
      </c>
      <c r="C51" s="1" t="s">
        <v>109</v>
      </c>
      <c r="D51" s="1" t="s">
        <v>49</v>
      </c>
      <c r="E51" s="2" t="s">
        <v>97</v>
      </c>
      <c r="F51" s="1" t="s">
        <v>99</v>
      </c>
      <c r="H51" s="5" t="str">
        <f t="shared" si="2"/>
        <v>460</v>
      </c>
      <c r="I51" s="5" t="str">
        <f t="shared" si="3"/>
        <v>308.21</v>
      </c>
      <c r="J51" s="5">
        <v>277.39</v>
      </c>
    </row>
    <row r="52" spans="1:10" x14ac:dyDescent="0.3">
      <c r="A52" s="1" t="s">
        <v>94</v>
      </c>
      <c r="B52" s="2" t="s">
        <v>108</v>
      </c>
      <c r="C52" s="1" t="s">
        <v>109</v>
      </c>
      <c r="D52" s="1" t="s">
        <v>49</v>
      </c>
      <c r="E52" s="2" t="s">
        <v>97</v>
      </c>
      <c r="F52" s="1" t="s">
        <v>50</v>
      </c>
      <c r="H52" s="5" t="str">
        <f t="shared" si="2"/>
        <v>460</v>
      </c>
      <c r="I52" s="5" t="str">
        <f t="shared" si="3"/>
        <v>308.21</v>
      </c>
      <c r="J52" s="5">
        <v>277.39</v>
      </c>
    </row>
    <row r="53" spans="1:10" x14ac:dyDescent="0.3">
      <c r="A53" s="1" t="s">
        <v>94</v>
      </c>
      <c r="B53" s="2" t="s">
        <v>108</v>
      </c>
      <c r="C53" s="1" t="s">
        <v>109</v>
      </c>
      <c r="D53" s="1" t="s">
        <v>49</v>
      </c>
      <c r="E53" s="2" t="s">
        <v>97</v>
      </c>
      <c r="F53" s="1" t="s">
        <v>74</v>
      </c>
      <c r="H53" s="5" t="str">
        <f t="shared" si="2"/>
        <v>460</v>
      </c>
      <c r="I53" s="5" t="str">
        <f t="shared" si="3"/>
        <v>308.21</v>
      </c>
      <c r="J53" s="5">
        <v>277.39</v>
      </c>
    </row>
    <row r="54" spans="1:10" x14ac:dyDescent="0.3">
      <c r="A54" s="1" t="s">
        <v>94</v>
      </c>
      <c r="B54" s="2" t="s">
        <v>108</v>
      </c>
      <c r="C54" s="1" t="s">
        <v>109</v>
      </c>
      <c r="D54" s="1" t="s">
        <v>49</v>
      </c>
      <c r="E54" s="2" t="s">
        <v>97</v>
      </c>
      <c r="F54" s="1" t="s">
        <v>100</v>
      </c>
      <c r="H54" s="5" t="str">
        <f t="shared" si="2"/>
        <v>460</v>
      </c>
      <c r="I54" s="5" t="str">
        <f t="shared" si="3"/>
        <v>308.21</v>
      </c>
      <c r="J54" s="5">
        <v>277.39</v>
      </c>
    </row>
    <row r="55" spans="1:10" x14ac:dyDescent="0.3">
      <c r="A55" s="1" t="s">
        <v>94</v>
      </c>
      <c r="B55" s="2" t="s">
        <v>108</v>
      </c>
      <c r="C55" s="1" t="s">
        <v>109</v>
      </c>
      <c r="D55" s="1" t="s">
        <v>49</v>
      </c>
      <c r="E55" s="2" t="s">
        <v>97</v>
      </c>
      <c r="F55" s="1" t="s">
        <v>101</v>
      </c>
      <c r="H55" s="5" t="str">
        <f t="shared" si="2"/>
        <v>460</v>
      </c>
      <c r="I55" s="5" t="str">
        <f t="shared" si="3"/>
        <v>308.21</v>
      </c>
      <c r="J55" s="5">
        <v>277.39</v>
      </c>
    </row>
    <row r="56" spans="1:10" x14ac:dyDescent="0.3">
      <c r="A56" s="1" t="s">
        <v>94</v>
      </c>
      <c r="B56" s="2" t="s">
        <v>108</v>
      </c>
      <c r="C56" s="1" t="s">
        <v>109</v>
      </c>
      <c r="D56" s="1" t="s">
        <v>49</v>
      </c>
      <c r="E56" s="2" t="s">
        <v>97</v>
      </c>
      <c r="F56" s="1" t="s">
        <v>102</v>
      </c>
      <c r="H56" s="5" t="str">
        <f t="shared" si="2"/>
        <v>460</v>
      </c>
      <c r="I56" s="5" t="str">
        <f t="shared" si="3"/>
        <v>308.21</v>
      </c>
      <c r="J56" s="5">
        <v>277.39</v>
      </c>
    </row>
    <row r="57" spans="1:10" x14ac:dyDescent="0.3">
      <c r="A57" s="1" t="s">
        <v>94</v>
      </c>
      <c r="B57" s="2" t="s">
        <v>108</v>
      </c>
      <c r="C57" s="1" t="s">
        <v>109</v>
      </c>
      <c r="D57" s="1" t="s">
        <v>49</v>
      </c>
      <c r="E57" s="2" t="s">
        <v>97</v>
      </c>
      <c r="F57" s="1" t="s">
        <v>103</v>
      </c>
      <c r="H57" s="5" t="str">
        <f t="shared" si="2"/>
        <v>460</v>
      </c>
      <c r="I57" s="5" t="str">
        <f t="shared" si="3"/>
        <v>308.21</v>
      </c>
      <c r="J57" s="5">
        <v>277.39</v>
      </c>
    </row>
    <row r="58" spans="1:10" x14ac:dyDescent="0.3">
      <c r="A58" s="1" t="s">
        <v>94</v>
      </c>
      <c r="B58" s="2" t="s">
        <v>108</v>
      </c>
      <c r="C58" s="1" t="s">
        <v>109</v>
      </c>
      <c r="D58" s="1" t="s">
        <v>49</v>
      </c>
      <c r="E58" s="2" t="s">
        <v>97</v>
      </c>
      <c r="F58" s="1" t="s">
        <v>104</v>
      </c>
      <c r="H58" s="5" t="str">
        <f t="shared" si="2"/>
        <v>460</v>
      </c>
      <c r="I58" s="5" t="str">
        <f t="shared" si="3"/>
        <v>308.21</v>
      </c>
      <c r="J58" s="5">
        <v>277.39</v>
      </c>
    </row>
    <row r="59" spans="1:10" x14ac:dyDescent="0.3">
      <c r="A59" s="1" t="s">
        <v>94</v>
      </c>
      <c r="B59" s="2" t="s">
        <v>108</v>
      </c>
      <c r="C59" s="1" t="s">
        <v>109</v>
      </c>
      <c r="D59" s="1" t="s">
        <v>49</v>
      </c>
      <c r="E59" s="2" t="s">
        <v>97</v>
      </c>
      <c r="F59" s="1" t="s">
        <v>105</v>
      </c>
      <c r="H59" s="5" t="str">
        <f t="shared" si="2"/>
        <v>460</v>
      </c>
      <c r="I59" s="5" t="str">
        <f t="shared" si="3"/>
        <v>308.21</v>
      </c>
      <c r="J59" s="5">
        <v>277.39</v>
      </c>
    </row>
    <row r="60" spans="1:10" x14ac:dyDescent="0.3">
      <c r="A60" s="1" t="s">
        <v>94</v>
      </c>
      <c r="B60" s="2" t="s">
        <v>108</v>
      </c>
      <c r="C60" s="1" t="s">
        <v>109</v>
      </c>
      <c r="D60" s="1" t="s">
        <v>49</v>
      </c>
      <c r="E60" s="2" t="s">
        <v>97</v>
      </c>
      <c r="F60" s="1" t="s">
        <v>79</v>
      </c>
      <c r="H60" s="5" t="str">
        <f t="shared" si="2"/>
        <v>460</v>
      </c>
      <c r="I60" s="5" t="str">
        <f t="shared" si="3"/>
        <v>308.21</v>
      </c>
      <c r="J60" s="5">
        <v>277.39</v>
      </c>
    </row>
    <row r="61" spans="1:10" x14ac:dyDescent="0.3">
      <c r="A61" s="1" t="s">
        <v>94</v>
      </c>
      <c r="B61" s="2" t="s">
        <v>108</v>
      </c>
      <c r="C61" s="1" t="s">
        <v>109</v>
      </c>
      <c r="D61" s="1" t="s">
        <v>49</v>
      </c>
      <c r="E61" s="2" t="s">
        <v>97</v>
      </c>
      <c r="F61" s="1" t="s">
        <v>81</v>
      </c>
      <c r="H61" s="5" t="str">
        <f t="shared" si="2"/>
        <v>460</v>
      </c>
      <c r="I61" s="5" t="str">
        <f t="shared" si="3"/>
        <v>308.21</v>
      </c>
      <c r="J61" s="5">
        <v>277.39</v>
      </c>
    </row>
    <row r="62" spans="1:10" x14ac:dyDescent="0.3">
      <c r="A62" s="1" t="s">
        <v>94</v>
      </c>
      <c r="B62" s="2" t="s">
        <v>108</v>
      </c>
      <c r="C62" s="1" t="s">
        <v>109</v>
      </c>
      <c r="D62" s="1" t="s">
        <v>49</v>
      </c>
      <c r="E62" s="2" t="s">
        <v>97</v>
      </c>
      <c r="F62" s="1" t="s">
        <v>106</v>
      </c>
      <c r="H62" s="5" t="str">
        <f t="shared" si="2"/>
        <v>460</v>
      </c>
      <c r="I62" s="5" t="str">
        <f t="shared" si="3"/>
        <v>308.21</v>
      </c>
      <c r="J62" s="5">
        <v>277.39</v>
      </c>
    </row>
    <row r="63" spans="1:10" ht="15.6" x14ac:dyDescent="0.3">
      <c r="A63" s="1" t="s">
        <v>94</v>
      </c>
      <c r="B63" s="2" t="s">
        <v>111</v>
      </c>
      <c r="C63" s="1" t="s">
        <v>112</v>
      </c>
      <c r="D63" s="1" t="s">
        <v>49</v>
      </c>
      <c r="E63" s="2" t="s">
        <v>14</v>
      </c>
      <c r="F63" s="1" t="s">
        <v>98</v>
      </c>
      <c r="G63" s="3" t="s">
        <v>119</v>
      </c>
      <c r="H63" s="5" t="str">
        <f t="shared" ref="H63:H81" si="4">"235"</f>
        <v>235</v>
      </c>
      <c r="I63" s="5" t="str">
        <f t="shared" ref="I63:I81" si="5">"157.45"</f>
        <v>157.45</v>
      </c>
      <c r="J63" s="5">
        <v>141.71</v>
      </c>
    </row>
    <row r="64" spans="1:10" x14ac:dyDescent="0.3">
      <c r="A64" s="1" t="s">
        <v>94</v>
      </c>
      <c r="B64" s="2" t="s">
        <v>111</v>
      </c>
      <c r="C64" s="1" t="s">
        <v>112</v>
      </c>
      <c r="D64" s="1" t="s">
        <v>49</v>
      </c>
      <c r="E64" s="2" t="s">
        <v>14</v>
      </c>
      <c r="F64" s="1" t="s">
        <v>99</v>
      </c>
      <c r="H64" s="5" t="str">
        <f t="shared" si="4"/>
        <v>235</v>
      </c>
      <c r="I64" s="5" t="str">
        <f t="shared" si="5"/>
        <v>157.45</v>
      </c>
      <c r="J64" s="5">
        <v>141.71</v>
      </c>
    </row>
    <row r="65" spans="1:10" x14ac:dyDescent="0.3">
      <c r="A65" s="1" t="s">
        <v>94</v>
      </c>
      <c r="B65" s="2" t="s">
        <v>111</v>
      </c>
      <c r="C65" s="1" t="s">
        <v>112</v>
      </c>
      <c r="D65" s="1" t="s">
        <v>49</v>
      </c>
      <c r="E65" s="2" t="s">
        <v>14</v>
      </c>
      <c r="F65" s="1" t="s">
        <v>113</v>
      </c>
      <c r="H65" s="5" t="str">
        <f t="shared" si="4"/>
        <v>235</v>
      </c>
      <c r="I65" s="5" t="str">
        <f t="shared" si="5"/>
        <v>157.45</v>
      </c>
      <c r="J65" s="5">
        <v>141.71</v>
      </c>
    </row>
    <row r="66" spans="1:10" x14ac:dyDescent="0.3">
      <c r="A66" s="1" t="s">
        <v>94</v>
      </c>
      <c r="B66" s="2" t="s">
        <v>111</v>
      </c>
      <c r="C66" s="1" t="s">
        <v>112</v>
      </c>
      <c r="D66" s="1" t="s">
        <v>49</v>
      </c>
      <c r="E66" s="2" t="s">
        <v>14</v>
      </c>
      <c r="F66" s="1" t="s">
        <v>50</v>
      </c>
      <c r="H66" s="5" t="str">
        <f t="shared" si="4"/>
        <v>235</v>
      </c>
      <c r="I66" s="5" t="str">
        <f t="shared" si="5"/>
        <v>157.45</v>
      </c>
      <c r="J66" s="5">
        <v>141.71</v>
      </c>
    </row>
    <row r="67" spans="1:10" x14ac:dyDescent="0.3">
      <c r="A67" s="1" t="s">
        <v>94</v>
      </c>
      <c r="B67" s="2" t="s">
        <v>111</v>
      </c>
      <c r="C67" s="1" t="s">
        <v>112</v>
      </c>
      <c r="D67" s="1" t="s">
        <v>49</v>
      </c>
      <c r="E67" s="2" t="s">
        <v>14</v>
      </c>
      <c r="F67" s="1" t="s">
        <v>74</v>
      </c>
      <c r="H67" s="5" t="str">
        <f t="shared" si="4"/>
        <v>235</v>
      </c>
      <c r="I67" s="5" t="str">
        <f t="shared" si="5"/>
        <v>157.45</v>
      </c>
      <c r="J67" s="5">
        <v>141.71</v>
      </c>
    </row>
    <row r="68" spans="1:10" x14ac:dyDescent="0.3">
      <c r="A68" s="1" t="s">
        <v>94</v>
      </c>
      <c r="B68" s="2" t="s">
        <v>111</v>
      </c>
      <c r="C68" s="1" t="s">
        <v>112</v>
      </c>
      <c r="D68" s="1" t="s">
        <v>49</v>
      </c>
      <c r="E68" s="2" t="s">
        <v>14</v>
      </c>
      <c r="F68" s="1" t="s">
        <v>114</v>
      </c>
      <c r="H68" s="5" t="str">
        <f t="shared" si="4"/>
        <v>235</v>
      </c>
      <c r="I68" s="5" t="str">
        <f t="shared" si="5"/>
        <v>157.45</v>
      </c>
      <c r="J68" s="5">
        <v>141.71</v>
      </c>
    </row>
    <row r="69" spans="1:10" x14ac:dyDescent="0.3">
      <c r="A69" s="1" t="s">
        <v>94</v>
      </c>
      <c r="B69" s="2" t="s">
        <v>111</v>
      </c>
      <c r="C69" s="1" t="s">
        <v>112</v>
      </c>
      <c r="D69" s="1" t="s">
        <v>49</v>
      </c>
      <c r="E69" s="2" t="s">
        <v>14</v>
      </c>
      <c r="F69" s="1" t="s">
        <v>100</v>
      </c>
      <c r="H69" s="5" t="str">
        <f t="shared" si="4"/>
        <v>235</v>
      </c>
      <c r="I69" s="5" t="str">
        <f t="shared" si="5"/>
        <v>157.45</v>
      </c>
      <c r="J69" s="5">
        <v>141.71</v>
      </c>
    </row>
    <row r="70" spans="1:10" x14ac:dyDescent="0.3">
      <c r="A70" s="1" t="s">
        <v>94</v>
      </c>
      <c r="B70" s="2" t="s">
        <v>111</v>
      </c>
      <c r="C70" s="1" t="s">
        <v>112</v>
      </c>
      <c r="D70" s="1" t="s">
        <v>49</v>
      </c>
      <c r="E70" s="2" t="s">
        <v>14</v>
      </c>
      <c r="F70" s="1" t="s">
        <v>115</v>
      </c>
      <c r="H70" s="5" t="str">
        <f t="shared" si="4"/>
        <v>235</v>
      </c>
      <c r="I70" s="5" t="str">
        <f t="shared" si="5"/>
        <v>157.45</v>
      </c>
      <c r="J70" s="5">
        <v>141.71</v>
      </c>
    </row>
    <row r="71" spans="1:10" x14ac:dyDescent="0.3">
      <c r="A71" s="1" t="s">
        <v>94</v>
      </c>
      <c r="B71" s="2" t="s">
        <v>111</v>
      </c>
      <c r="C71" s="1" t="s">
        <v>112</v>
      </c>
      <c r="D71" s="1" t="s">
        <v>49</v>
      </c>
      <c r="E71" s="2" t="s">
        <v>14</v>
      </c>
      <c r="F71" s="1" t="s">
        <v>101</v>
      </c>
      <c r="H71" s="5" t="str">
        <f t="shared" si="4"/>
        <v>235</v>
      </c>
      <c r="I71" s="5" t="str">
        <f t="shared" si="5"/>
        <v>157.45</v>
      </c>
      <c r="J71" s="5">
        <v>141.71</v>
      </c>
    </row>
    <row r="72" spans="1:10" x14ac:dyDescent="0.3">
      <c r="A72" s="1" t="s">
        <v>94</v>
      </c>
      <c r="B72" s="2" t="s">
        <v>111</v>
      </c>
      <c r="C72" s="1" t="s">
        <v>112</v>
      </c>
      <c r="D72" s="1" t="s">
        <v>49</v>
      </c>
      <c r="E72" s="2" t="s">
        <v>14</v>
      </c>
      <c r="F72" s="1" t="s">
        <v>102</v>
      </c>
      <c r="H72" s="5" t="str">
        <f t="shared" si="4"/>
        <v>235</v>
      </c>
      <c r="I72" s="5" t="str">
        <f t="shared" si="5"/>
        <v>157.45</v>
      </c>
      <c r="J72" s="5">
        <v>141.71</v>
      </c>
    </row>
    <row r="73" spans="1:10" x14ac:dyDescent="0.3">
      <c r="A73" s="1" t="s">
        <v>94</v>
      </c>
      <c r="B73" s="2" t="s">
        <v>111</v>
      </c>
      <c r="C73" s="1" t="s">
        <v>112</v>
      </c>
      <c r="D73" s="1" t="s">
        <v>49</v>
      </c>
      <c r="E73" s="2" t="s">
        <v>14</v>
      </c>
      <c r="F73" s="1" t="s">
        <v>103</v>
      </c>
      <c r="H73" s="5" t="str">
        <f t="shared" si="4"/>
        <v>235</v>
      </c>
      <c r="I73" s="5" t="str">
        <f t="shared" si="5"/>
        <v>157.45</v>
      </c>
      <c r="J73" s="5">
        <v>141.71</v>
      </c>
    </row>
    <row r="74" spans="1:10" x14ac:dyDescent="0.3">
      <c r="A74" s="1" t="s">
        <v>94</v>
      </c>
      <c r="B74" s="2" t="s">
        <v>111</v>
      </c>
      <c r="C74" s="1" t="s">
        <v>112</v>
      </c>
      <c r="D74" s="1" t="s">
        <v>49</v>
      </c>
      <c r="E74" s="2" t="s">
        <v>14</v>
      </c>
      <c r="F74" s="1" t="s">
        <v>116</v>
      </c>
      <c r="H74" s="5" t="str">
        <f t="shared" si="4"/>
        <v>235</v>
      </c>
      <c r="I74" s="5" t="str">
        <f t="shared" si="5"/>
        <v>157.45</v>
      </c>
      <c r="J74" s="5">
        <v>141.71</v>
      </c>
    </row>
    <row r="75" spans="1:10" x14ac:dyDescent="0.3">
      <c r="A75" s="1" t="s">
        <v>94</v>
      </c>
      <c r="B75" s="2" t="s">
        <v>111</v>
      </c>
      <c r="C75" s="1" t="s">
        <v>112</v>
      </c>
      <c r="D75" s="1" t="s">
        <v>49</v>
      </c>
      <c r="E75" s="2" t="s">
        <v>14</v>
      </c>
      <c r="F75" s="1" t="s">
        <v>117</v>
      </c>
      <c r="H75" s="5" t="str">
        <f t="shared" si="4"/>
        <v>235</v>
      </c>
      <c r="I75" s="5" t="str">
        <f t="shared" si="5"/>
        <v>157.45</v>
      </c>
      <c r="J75" s="5">
        <v>141.71</v>
      </c>
    </row>
    <row r="76" spans="1:10" x14ac:dyDescent="0.3">
      <c r="A76" s="1" t="s">
        <v>94</v>
      </c>
      <c r="B76" s="2" t="s">
        <v>111</v>
      </c>
      <c r="C76" s="1" t="s">
        <v>112</v>
      </c>
      <c r="D76" s="1" t="s">
        <v>49</v>
      </c>
      <c r="E76" s="2" t="s">
        <v>14</v>
      </c>
      <c r="F76" s="1" t="s">
        <v>104</v>
      </c>
      <c r="H76" s="5" t="str">
        <f t="shared" si="4"/>
        <v>235</v>
      </c>
      <c r="I76" s="5" t="str">
        <f t="shared" si="5"/>
        <v>157.45</v>
      </c>
      <c r="J76" s="5">
        <v>141.71</v>
      </c>
    </row>
    <row r="77" spans="1:10" x14ac:dyDescent="0.3">
      <c r="A77" s="1" t="s">
        <v>94</v>
      </c>
      <c r="B77" s="2" t="s">
        <v>111</v>
      </c>
      <c r="C77" s="1" t="s">
        <v>112</v>
      </c>
      <c r="D77" s="1" t="s">
        <v>49</v>
      </c>
      <c r="E77" s="2" t="s">
        <v>14</v>
      </c>
      <c r="F77" s="1" t="s">
        <v>105</v>
      </c>
      <c r="H77" s="5" t="str">
        <f t="shared" si="4"/>
        <v>235</v>
      </c>
      <c r="I77" s="5" t="str">
        <f t="shared" si="5"/>
        <v>157.45</v>
      </c>
      <c r="J77" s="5">
        <v>141.71</v>
      </c>
    </row>
    <row r="78" spans="1:10" x14ac:dyDescent="0.3">
      <c r="A78" s="1" t="s">
        <v>94</v>
      </c>
      <c r="B78" s="2" t="s">
        <v>111</v>
      </c>
      <c r="C78" s="1" t="s">
        <v>112</v>
      </c>
      <c r="D78" s="1" t="s">
        <v>49</v>
      </c>
      <c r="E78" s="2" t="s">
        <v>14</v>
      </c>
      <c r="F78" s="1" t="s">
        <v>118</v>
      </c>
      <c r="H78" s="5" t="str">
        <f t="shared" si="4"/>
        <v>235</v>
      </c>
      <c r="I78" s="5" t="str">
        <f t="shared" si="5"/>
        <v>157.45</v>
      </c>
      <c r="J78" s="5">
        <v>141.71</v>
      </c>
    </row>
    <row r="79" spans="1:10" x14ac:dyDescent="0.3">
      <c r="A79" s="1" t="s">
        <v>94</v>
      </c>
      <c r="B79" s="2" t="s">
        <v>111</v>
      </c>
      <c r="C79" s="1" t="s">
        <v>112</v>
      </c>
      <c r="D79" s="1" t="s">
        <v>49</v>
      </c>
      <c r="E79" s="2" t="s">
        <v>14</v>
      </c>
      <c r="F79" s="1" t="s">
        <v>79</v>
      </c>
      <c r="H79" s="5" t="str">
        <f t="shared" si="4"/>
        <v>235</v>
      </c>
      <c r="I79" s="5" t="str">
        <f t="shared" si="5"/>
        <v>157.45</v>
      </c>
      <c r="J79" s="5">
        <v>141.71</v>
      </c>
    </row>
    <row r="80" spans="1:10" x14ac:dyDescent="0.3">
      <c r="A80" s="1" t="s">
        <v>94</v>
      </c>
      <c r="B80" s="2" t="s">
        <v>111</v>
      </c>
      <c r="C80" s="1" t="s">
        <v>112</v>
      </c>
      <c r="D80" s="1" t="s">
        <v>49</v>
      </c>
      <c r="E80" s="2" t="s">
        <v>14</v>
      </c>
      <c r="F80" s="1" t="s">
        <v>81</v>
      </c>
      <c r="H80" s="5" t="str">
        <f t="shared" si="4"/>
        <v>235</v>
      </c>
      <c r="I80" s="5" t="str">
        <f t="shared" si="5"/>
        <v>157.45</v>
      </c>
      <c r="J80" s="5">
        <v>141.71</v>
      </c>
    </row>
    <row r="81" spans="1:10" x14ac:dyDescent="0.3">
      <c r="A81" s="1" t="s">
        <v>94</v>
      </c>
      <c r="B81" s="2" t="s">
        <v>111</v>
      </c>
      <c r="C81" s="1" t="s">
        <v>112</v>
      </c>
      <c r="D81" s="1" t="s">
        <v>49</v>
      </c>
      <c r="E81" s="2" t="s">
        <v>14</v>
      </c>
      <c r="F81" s="1" t="s">
        <v>106</v>
      </c>
      <c r="H81" s="5" t="str">
        <f t="shared" si="4"/>
        <v>235</v>
      </c>
      <c r="I81" s="5" t="str">
        <f t="shared" si="5"/>
        <v>157.45</v>
      </c>
      <c r="J81" s="5">
        <v>141.71</v>
      </c>
    </row>
    <row r="82" spans="1:10" ht="15.6" x14ac:dyDescent="0.3">
      <c r="A82" s="1" t="s">
        <v>94</v>
      </c>
      <c r="B82" s="2" t="s">
        <v>120</v>
      </c>
      <c r="C82" s="1" t="s">
        <v>121</v>
      </c>
      <c r="D82" s="1" t="s">
        <v>49</v>
      </c>
      <c r="E82" s="2" t="s">
        <v>14</v>
      </c>
      <c r="F82" s="1" t="s">
        <v>98</v>
      </c>
      <c r="G82" s="4" t="s">
        <v>122</v>
      </c>
      <c r="H82" s="5" t="str">
        <f t="shared" ref="H82:H100" si="6">"225"</f>
        <v>225</v>
      </c>
      <c r="I82" s="5" t="str">
        <f t="shared" ref="I82:I100" si="7">"150.75"</f>
        <v>150.75</v>
      </c>
      <c r="J82" s="5">
        <v>135.68</v>
      </c>
    </row>
    <row r="83" spans="1:10" x14ac:dyDescent="0.3">
      <c r="A83" s="1" t="s">
        <v>94</v>
      </c>
      <c r="B83" s="2" t="s">
        <v>120</v>
      </c>
      <c r="C83" s="1" t="s">
        <v>121</v>
      </c>
      <c r="D83" s="1" t="s">
        <v>49</v>
      </c>
      <c r="E83" s="2" t="s">
        <v>14</v>
      </c>
      <c r="F83" s="1" t="s">
        <v>99</v>
      </c>
      <c r="H83" s="5" t="str">
        <f t="shared" si="6"/>
        <v>225</v>
      </c>
      <c r="I83" s="5" t="str">
        <f t="shared" si="7"/>
        <v>150.75</v>
      </c>
      <c r="J83" s="5">
        <v>135.68</v>
      </c>
    </row>
    <row r="84" spans="1:10" x14ac:dyDescent="0.3">
      <c r="A84" s="1" t="s">
        <v>94</v>
      </c>
      <c r="B84" s="2" t="s">
        <v>120</v>
      </c>
      <c r="C84" s="1" t="s">
        <v>121</v>
      </c>
      <c r="D84" s="1" t="s">
        <v>49</v>
      </c>
      <c r="E84" s="2" t="s">
        <v>14</v>
      </c>
      <c r="F84" s="1" t="s">
        <v>113</v>
      </c>
      <c r="H84" s="5" t="str">
        <f t="shared" si="6"/>
        <v>225</v>
      </c>
      <c r="I84" s="5" t="str">
        <f t="shared" si="7"/>
        <v>150.75</v>
      </c>
      <c r="J84" s="5">
        <v>135.68</v>
      </c>
    </row>
    <row r="85" spans="1:10" x14ac:dyDescent="0.3">
      <c r="A85" s="1" t="s">
        <v>94</v>
      </c>
      <c r="B85" s="2" t="s">
        <v>120</v>
      </c>
      <c r="C85" s="1" t="s">
        <v>121</v>
      </c>
      <c r="D85" s="1" t="s">
        <v>49</v>
      </c>
      <c r="E85" s="2" t="s">
        <v>14</v>
      </c>
      <c r="F85" s="1" t="s">
        <v>50</v>
      </c>
      <c r="H85" s="5" t="str">
        <f t="shared" si="6"/>
        <v>225</v>
      </c>
      <c r="I85" s="5" t="str">
        <f t="shared" si="7"/>
        <v>150.75</v>
      </c>
      <c r="J85" s="5">
        <v>135.68</v>
      </c>
    </row>
    <row r="86" spans="1:10" x14ac:dyDescent="0.3">
      <c r="A86" s="1" t="s">
        <v>94</v>
      </c>
      <c r="B86" s="2" t="s">
        <v>120</v>
      </c>
      <c r="C86" s="1" t="s">
        <v>121</v>
      </c>
      <c r="D86" s="1" t="s">
        <v>49</v>
      </c>
      <c r="E86" s="2" t="s">
        <v>14</v>
      </c>
      <c r="F86" s="1" t="s">
        <v>74</v>
      </c>
      <c r="H86" s="5" t="str">
        <f t="shared" si="6"/>
        <v>225</v>
      </c>
      <c r="I86" s="5" t="str">
        <f t="shared" si="7"/>
        <v>150.75</v>
      </c>
      <c r="J86" s="5">
        <v>135.68</v>
      </c>
    </row>
    <row r="87" spans="1:10" x14ac:dyDescent="0.3">
      <c r="A87" s="1" t="s">
        <v>94</v>
      </c>
      <c r="B87" s="2" t="s">
        <v>120</v>
      </c>
      <c r="C87" s="1" t="s">
        <v>121</v>
      </c>
      <c r="D87" s="1" t="s">
        <v>49</v>
      </c>
      <c r="E87" s="2" t="s">
        <v>14</v>
      </c>
      <c r="F87" s="1" t="s">
        <v>114</v>
      </c>
      <c r="H87" s="5" t="str">
        <f t="shared" si="6"/>
        <v>225</v>
      </c>
      <c r="I87" s="5" t="str">
        <f t="shared" si="7"/>
        <v>150.75</v>
      </c>
      <c r="J87" s="5">
        <v>135.68</v>
      </c>
    </row>
    <row r="88" spans="1:10" x14ac:dyDescent="0.3">
      <c r="A88" s="1" t="s">
        <v>94</v>
      </c>
      <c r="B88" s="2" t="s">
        <v>120</v>
      </c>
      <c r="C88" s="1" t="s">
        <v>121</v>
      </c>
      <c r="D88" s="1" t="s">
        <v>49</v>
      </c>
      <c r="E88" s="2" t="s">
        <v>14</v>
      </c>
      <c r="F88" s="1" t="s">
        <v>100</v>
      </c>
      <c r="H88" s="5" t="str">
        <f t="shared" si="6"/>
        <v>225</v>
      </c>
      <c r="I88" s="5" t="str">
        <f t="shared" si="7"/>
        <v>150.75</v>
      </c>
      <c r="J88" s="5">
        <v>135.68</v>
      </c>
    </row>
    <row r="89" spans="1:10" x14ac:dyDescent="0.3">
      <c r="A89" s="1" t="s">
        <v>94</v>
      </c>
      <c r="B89" s="2" t="s">
        <v>120</v>
      </c>
      <c r="C89" s="1" t="s">
        <v>121</v>
      </c>
      <c r="D89" s="1" t="s">
        <v>49</v>
      </c>
      <c r="E89" s="2" t="s">
        <v>14</v>
      </c>
      <c r="F89" s="1" t="s">
        <v>115</v>
      </c>
      <c r="H89" s="5" t="str">
        <f t="shared" si="6"/>
        <v>225</v>
      </c>
      <c r="I89" s="5" t="str">
        <f t="shared" si="7"/>
        <v>150.75</v>
      </c>
      <c r="J89" s="5">
        <v>135.68</v>
      </c>
    </row>
    <row r="90" spans="1:10" x14ac:dyDescent="0.3">
      <c r="A90" s="1" t="s">
        <v>94</v>
      </c>
      <c r="B90" s="2" t="s">
        <v>120</v>
      </c>
      <c r="C90" s="1" t="s">
        <v>121</v>
      </c>
      <c r="D90" s="1" t="s">
        <v>49</v>
      </c>
      <c r="E90" s="2" t="s">
        <v>14</v>
      </c>
      <c r="F90" s="1" t="s">
        <v>101</v>
      </c>
      <c r="H90" s="5" t="str">
        <f t="shared" si="6"/>
        <v>225</v>
      </c>
      <c r="I90" s="5" t="str">
        <f t="shared" si="7"/>
        <v>150.75</v>
      </c>
      <c r="J90" s="5">
        <v>135.68</v>
      </c>
    </row>
    <row r="91" spans="1:10" x14ac:dyDescent="0.3">
      <c r="A91" s="1" t="s">
        <v>94</v>
      </c>
      <c r="B91" s="2" t="s">
        <v>120</v>
      </c>
      <c r="C91" s="1" t="s">
        <v>121</v>
      </c>
      <c r="D91" s="1" t="s">
        <v>49</v>
      </c>
      <c r="E91" s="2" t="s">
        <v>14</v>
      </c>
      <c r="F91" s="1" t="s">
        <v>102</v>
      </c>
      <c r="H91" s="5" t="str">
        <f t="shared" si="6"/>
        <v>225</v>
      </c>
      <c r="I91" s="5" t="str">
        <f t="shared" si="7"/>
        <v>150.75</v>
      </c>
      <c r="J91" s="5">
        <v>135.68</v>
      </c>
    </row>
    <row r="92" spans="1:10" x14ac:dyDescent="0.3">
      <c r="A92" s="1" t="s">
        <v>94</v>
      </c>
      <c r="B92" s="2" t="s">
        <v>120</v>
      </c>
      <c r="C92" s="1" t="s">
        <v>121</v>
      </c>
      <c r="D92" s="1" t="s">
        <v>49</v>
      </c>
      <c r="E92" s="2" t="s">
        <v>14</v>
      </c>
      <c r="F92" s="1" t="s">
        <v>103</v>
      </c>
      <c r="H92" s="5" t="str">
        <f t="shared" si="6"/>
        <v>225</v>
      </c>
      <c r="I92" s="5" t="str">
        <f t="shared" si="7"/>
        <v>150.75</v>
      </c>
      <c r="J92" s="5">
        <v>135.68</v>
      </c>
    </row>
    <row r="93" spans="1:10" x14ac:dyDescent="0.3">
      <c r="A93" s="1" t="s">
        <v>94</v>
      </c>
      <c r="B93" s="2" t="s">
        <v>120</v>
      </c>
      <c r="C93" s="1" t="s">
        <v>121</v>
      </c>
      <c r="D93" s="1" t="s">
        <v>49</v>
      </c>
      <c r="E93" s="2" t="s">
        <v>14</v>
      </c>
      <c r="F93" s="1" t="s">
        <v>116</v>
      </c>
      <c r="H93" s="5" t="str">
        <f t="shared" si="6"/>
        <v>225</v>
      </c>
      <c r="I93" s="5" t="str">
        <f t="shared" si="7"/>
        <v>150.75</v>
      </c>
      <c r="J93" s="5">
        <v>135.68</v>
      </c>
    </row>
    <row r="94" spans="1:10" x14ac:dyDescent="0.3">
      <c r="A94" s="1" t="s">
        <v>94</v>
      </c>
      <c r="B94" s="2" t="s">
        <v>120</v>
      </c>
      <c r="C94" s="1" t="s">
        <v>121</v>
      </c>
      <c r="D94" s="1" t="s">
        <v>49</v>
      </c>
      <c r="E94" s="2" t="s">
        <v>14</v>
      </c>
      <c r="F94" s="1" t="s">
        <v>117</v>
      </c>
      <c r="H94" s="5" t="str">
        <f t="shared" si="6"/>
        <v>225</v>
      </c>
      <c r="I94" s="5" t="str">
        <f t="shared" si="7"/>
        <v>150.75</v>
      </c>
      <c r="J94" s="5">
        <v>135.68</v>
      </c>
    </row>
    <row r="95" spans="1:10" x14ac:dyDescent="0.3">
      <c r="A95" s="1" t="s">
        <v>94</v>
      </c>
      <c r="B95" s="2" t="s">
        <v>120</v>
      </c>
      <c r="C95" s="1" t="s">
        <v>121</v>
      </c>
      <c r="D95" s="1" t="s">
        <v>49</v>
      </c>
      <c r="E95" s="2" t="s">
        <v>14</v>
      </c>
      <c r="F95" s="1" t="s">
        <v>104</v>
      </c>
      <c r="H95" s="5" t="str">
        <f t="shared" si="6"/>
        <v>225</v>
      </c>
      <c r="I95" s="5" t="str">
        <f t="shared" si="7"/>
        <v>150.75</v>
      </c>
      <c r="J95" s="5">
        <v>135.68</v>
      </c>
    </row>
    <row r="96" spans="1:10" x14ac:dyDescent="0.3">
      <c r="A96" s="1" t="s">
        <v>94</v>
      </c>
      <c r="B96" s="2" t="s">
        <v>120</v>
      </c>
      <c r="C96" s="1" t="s">
        <v>121</v>
      </c>
      <c r="D96" s="1" t="s">
        <v>49</v>
      </c>
      <c r="E96" s="2" t="s">
        <v>14</v>
      </c>
      <c r="F96" s="1" t="s">
        <v>105</v>
      </c>
      <c r="H96" s="5" t="str">
        <f t="shared" si="6"/>
        <v>225</v>
      </c>
      <c r="I96" s="5" t="str">
        <f t="shared" si="7"/>
        <v>150.75</v>
      </c>
      <c r="J96" s="5">
        <v>135.68</v>
      </c>
    </row>
    <row r="97" spans="1:10" x14ac:dyDescent="0.3">
      <c r="A97" s="1" t="s">
        <v>94</v>
      </c>
      <c r="B97" s="2" t="s">
        <v>120</v>
      </c>
      <c r="C97" s="1" t="s">
        <v>121</v>
      </c>
      <c r="D97" s="1" t="s">
        <v>49</v>
      </c>
      <c r="E97" s="2" t="s">
        <v>14</v>
      </c>
      <c r="F97" s="1" t="s">
        <v>118</v>
      </c>
      <c r="H97" s="5" t="str">
        <f t="shared" si="6"/>
        <v>225</v>
      </c>
      <c r="I97" s="5" t="str">
        <f t="shared" si="7"/>
        <v>150.75</v>
      </c>
      <c r="J97" s="5">
        <v>135.68</v>
      </c>
    </row>
    <row r="98" spans="1:10" x14ac:dyDescent="0.3">
      <c r="A98" s="1" t="s">
        <v>94</v>
      </c>
      <c r="B98" s="2" t="s">
        <v>120</v>
      </c>
      <c r="C98" s="1" t="s">
        <v>121</v>
      </c>
      <c r="D98" s="1" t="s">
        <v>49</v>
      </c>
      <c r="E98" s="2" t="s">
        <v>14</v>
      </c>
      <c r="F98" s="1" t="s">
        <v>79</v>
      </c>
      <c r="H98" s="5" t="str">
        <f t="shared" si="6"/>
        <v>225</v>
      </c>
      <c r="I98" s="5" t="str">
        <f t="shared" si="7"/>
        <v>150.75</v>
      </c>
      <c r="J98" s="5">
        <v>135.68</v>
      </c>
    </row>
    <row r="99" spans="1:10" x14ac:dyDescent="0.3">
      <c r="A99" s="1" t="s">
        <v>94</v>
      </c>
      <c r="B99" s="2" t="s">
        <v>120</v>
      </c>
      <c r="C99" s="1" t="s">
        <v>121</v>
      </c>
      <c r="D99" s="1" t="s">
        <v>49</v>
      </c>
      <c r="E99" s="2" t="s">
        <v>14</v>
      </c>
      <c r="F99" s="1" t="s">
        <v>81</v>
      </c>
      <c r="H99" s="5" t="str">
        <f t="shared" si="6"/>
        <v>225</v>
      </c>
      <c r="I99" s="5" t="str">
        <f t="shared" si="7"/>
        <v>150.75</v>
      </c>
      <c r="J99" s="5">
        <v>135.68</v>
      </c>
    </row>
    <row r="100" spans="1:10" x14ac:dyDescent="0.3">
      <c r="A100" s="1" t="s">
        <v>94</v>
      </c>
      <c r="B100" s="2" t="s">
        <v>120</v>
      </c>
      <c r="C100" s="1" t="s">
        <v>121</v>
      </c>
      <c r="D100" s="1" t="s">
        <v>49</v>
      </c>
      <c r="E100" s="2" t="s">
        <v>14</v>
      </c>
      <c r="F100" s="1" t="s">
        <v>106</v>
      </c>
      <c r="H100" s="5" t="str">
        <f t="shared" si="6"/>
        <v>225</v>
      </c>
      <c r="I100" s="5" t="str">
        <f t="shared" si="7"/>
        <v>150.75</v>
      </c>
      <c r="J100" s="5">
        <v>135.68</v>
      </c>
    </row>
    <row r="101" spans="1:10" ht="15.6" x14ac:dyDescent="0.3">
      <c r="A101" s="1" t="s">
        <v>94</v>
      </c>
      <c r="B101" s="2" t="s">
        <v>123</v>
      </c>
      <c r="C101" s="1" t="s">
        <v>121</v>
      </c>
      <c r="D101" s="1" t="s">
        <v>49</v>
      </c>
      <c r="E101" s="2" t="s">
        <v>14</v>
      </c>
      <c r="F101" s="1" t="s">
        <v>98</v>
      </c>
      <c r="G101" s="4" t="s">
        <v>124</v>
      </c>
      <c r="H101" s="5" t="str">
        <f t="shared" ref="H101:H119" si="8">"180"</f>
        <v>180</v>
      </c>
      <c r="I101" s="5" t="str">
        <f t="shared" ref="I101:I119" si="9">"120.6"</f>
        <v>120.6</v>
      </c>
      <c r="J101" s="5">
        <v>108.54</v>
      </c>
    </row>
    <row r="102" spans="1:10" x14ac:dyDescent="0.3">
      <c r="A102" s="1" t="s">
        <v>94</v>
      </c>
      <c r="B102" s="2" t="s">
        <v>123</v>
      </c>
      <c r="C102" s="1" t="s">
        <v>121</v>
      </c>
      <c r="D102" s="1" t="s">
        <v>49</v>
      </c>
      <c r="E102" s="2" t="s">
        <v>14</v>
      </c>
      <c r="F102" s="1" t="s">
        <v>99</v>
      </c>
      <c r="H102" s="5" t="str">
        <f t="shared" si="8"/>
        <v>180</v>
      </c>
      <c r="I102" s="5" t="str">
        <f t="shared" si="9"/>
        <v>120.6</v>
      </c>
      <c r="J102" s="5">
        <v>108.54</v>
      </c>
    </row>
    <row r="103" spans="1:10" x14ac:dyDescent="0.3">
      <c r="A103" s="1" t="s">
        <v>94</v>
      </c>
      <c r="B103" s="2" t="s">
        <v>123</v>
      </c>
      <c r="C103" s="1" t="s">
        <v>121</v>
      </c>
      <c r="D103" s="1" t="s">
        <v>49</v>
      </c>
      <c r="E103" s="2" t="s">
        <v>14</v>
      </c>
      <c r="F103" s="1" t="s">
        <v>113</v>
      </c>
      <c r="H103" s="5" t="str">
        <f t="shared" si="8"/>
        <v>180</v>
      </c>
      <c r="I103" s="5" t="str">
        <f t="shared" si="9"/>
        <v>120.6</v>
      </c>
      <c r="J103" s="5">
        <v>108.54</v>
      </c>
    </row>
    <row r="104" spans="1:10" x14ac:dyDescent="0.3">
      <c r="A104" s="1" t="s">
        <v>94</v>
      </c>
      <c r="B104" s="2" t="s">
        <v>123</v>
      </c>
      <c r="C104" s="1" t="s">
        <v>121</v>
      </c>
      <c r="D104" s="1" t="s">
        <v>49</v>
      </c>
      <c r="E104" s="2" t="s">
        <v>14</v>
      </c>
      <c r="F104" s="1" t="s">
        <v>50</v>
      </c>
      <c r="H104" s="5" t="str">
        <f t="shared" si="8"/>
        <v>180</v>
      </c>
      <c r="I104" s="5" t="str">
        <f t="shared" si="9"/>
        <v>120.6</v>
      </c>
      <c r="J104" s="5">
        <v>108.54</v>
      </c>
    </row>
    <row r="105" spans="1:10" x14ac:dyDescent="0.3">
      <c r="A105" s="1" t="s">
        <v>94</v>
      </c>
      <c r="B105" s="2" t="s">
        <v>123</v>
      </c>
      <c r="C105" s="1" t="s">
        <v>121</v>
      </c>
      <c r="D105" s="1" t="s">
        <v>49</v>
      </c>
      <c r="E105" s="2" t="s">
        <v>14</v>
      </c>
      <c r="F105" s="1" t="s">
        <v>74</v>
      </c>
      <c r="H105" s="5" t="str">
        <f t="shared" si="8"/>
        <v>180</v>
      </c>
      <c r="I105" s="5" t="str">
        <f t="shared" si="9"/>
        <v>120.6</v>
      </c>
      <c r="J105" s="5">
        <v>108.54</v>
      </c>
    </row>
    <row r="106" spans="1:10" x14ac:dyDescent="0.3">
      <c r="A106" s="1" t="s">
        <v>94</v>
      </c>
      <c r="B106" s="2" t="s">
        <v>123</v>
      </c>
      <c r="C106" s="1" t="s">
        <v>121</v>
      </c>
      <c r="D106" s="1" t="s">
        <v>49</v>
      </c>
      <c r="E106" s="2" t="s">
        <v>14</v>
      </c>
      <c r="F106" s="1" t="s">
        <v>114</v>
      </c>
      <c r="H106" s="5" t="str">
        <f t="shared" si="8"/>
        <v>180</v>
      </c>
      <c r="I106" s="5" t="str">
        <f t="shared" si="9"/>
        <v>120.6</v>
      </c>
      <c r="J106" s="5">
        <v>108.54</v>
      </c>
    </row>
    <row r="107" spans="1:10" x14ac:dyDescent="0.3">
      <c r="A107" s="1" t="s">
        <v>94</v>
      </c>
      <c r="B107" s="2" t="s">
        <v>123</v>
      </c>
      <c r="C107" s="1" t="s">
        <v>121</v>
      </c>
      <c r="D107" s="1" t="s">
        <v>49</v>
      </c>
      <c r="E107" s="2" t="s">
        <v>14</v>
      </c>
      <c r="F107" s="1" t="s">
        <v>100</v>
      </c>
      <c r="H107" s="5" t="str">
        <f t="shared" si="8"/>
        <v>180</v>
      </c>
      <c r="I107" s="5" t="str">
        <f t="shared" si="9"/>
        <v>120.6</v>
      </c>
      <c r="J107" s="5">
        <v>108.54</v>
      </c>
    </row>
    <row r="108" spans="1:10" x14ac:dyDescent="0.3">
      <c r="A108" s="1" t="s">
        <v>94</v>
      </c>
      <c r="B108" s="2" t="s">
        <v>123</v>
      </c>
      <c r="C108" s="1" t="s">
        <v>121</v>
      </c>
      <c r="D108" s="1" t="s">
        <v>49</v>
      </c>
      <c r="E108" s="2" t="s">
        <v>14</v>
      </c>
      <c r="F108" s="1" t="s">
        <v>115</v>
      </c>
      <c r="H108" s="5" t="str">
        <f t="shared" si="8"/>
        <v>180</v>
      </c>
      <c r="I108" s="5" t="str">
        <f t="shared" si="9"/>
        <v>120.6</v>
      </c>
      <c r="J108" s="5">
        <v>108.54</v>
      </c>
    </row>
    <row r="109" spans="1:10" x14ac:dyDescent="0.3">
      <c r="A109" s="1" t="s">
        <v>94</v>
      </c>
      <c r="B109" s="2" t="s">
        <v>123</v>
      </c>
      <c r="C109" s="1" t="s">
        <v>121</v>
      </c>
      <c r="D109" s="1" t="s">
        <v>49</v>
      </c>
      <c r="E109" s="2" t="s">
        <v>14</v>
      </c>
      <c r="F109" s="1" t="s">
        <v>101</v>
      </c>
      <c r="H109" s="5" t="str">
        <f t="shared" si="8"/>
        <v>180</v>
      </c>
      <c r="I109" s="5" t="str">
        <f t="shared" si="9"/>
        <v>120.6</v>
      </c>
      <c r="J109" s="5">
        <v>108.54</v>
      </c>
    </row>
    <row r="110" spans="1:10" x14ac:dyDescent="0.3">
      <c r="A110" s="1" t="s">
        <v>94</v>
      </c>
      <c r="B110" s="2" t="s">
        <v>123</v>
      </c>
      <c r="C110" s="1" t="s">
        <v>121</v>
      </c>
      <c r="D110" s="1" t="s">
        <v>49</v>
      </c>
      <c r="E110" s="2" t="s">
        <v>14</v>
      </c>
      <c r="F110" s="1" t="s">
        <v>102</v>
      </c>
      <c r="H110" s="5" t="str">
        <f t="shared" si="8"/>
        <v>180</v>
      </c>
      <c r="I110" s="5" t="str">
        <f t="shared" si="9"/>
        <v>120.6</v>
      </c>
      <c r="J110" s="5">
        <v>108.54</v>
      </c>
    </row>
    <row r="111" spans="1:10" x14ac:dyDescent="0.3">
      <c r="A111" s="1" t="s">
        <v>94</v>
      </c>
      <c r="B111" s="2" t="s">
        <v>123</v>
      </c>
      <c r="C111" s="1" t="s">
        <v>121</v>
      </c>
      <c r="D111" s="1" t="s">
        <v>49</v>
      </c>
      <c r="E111" s="2" t="s">
        <v>14</v>
      </c>
      <c r="F111" s="1" t="s">
        <v>103</v>
      </c>
      <c r="H111" s="5" t="str">
        <f t="shared" si="8"/>
        <v>180</v>
      </c>
      <c r="I111" s="5" t="str">
        <f t="shared" si="9"/>
        <v>120.6</v>
      </c>
      <c r="J111" s="5">
        <v>108.54</v>
      </c>
    </row>
    <row r="112" spans="1:10" x14ac:dyDescent="0.3">
      <c r="A112" s="1" t="s">
        <v>94</v>
      </c>
      <c r="B112" s="2" t="s">
        <v>123</v>
      </c>
      <c r="C112" s="1" t="s">
        <v>121</v>
      </c>
      <c r="D112" s="1" t="s">
        <v>49</v>
      </c>
      <c r="E112" s="2" t="s">
        <v>14</v>
      </c>
      <c r="F112" s="1" t="s">
        <v>116</v>
      </c>
      <c r="H112" s="5" t="str">
        <f t="shared" si="8"/>
        <v>180</v>
      </c>
      <c r="I112" s="5" t="str">
        <f t="shared" si="9"/>
        <v>120.6</v>
      </c>
      <c r="J112" s="5">
        <v>108.54</v>
      </c>
    </row>
    <row r="113" spans="1:10" x14ac:dyDescent="0.3">
      <c r="A113" s="1" t="s">
        <v>94</v>
      </c>
      <c r="B113" s="2" t="s">
        <v>123</v>
      </c>
      <c r="C113" s="1" t="s">
        <v>121</v>
      </c>
      <c r="D113" s="1" t="s">
        <v>49</v>
      </c>
      <c r="E113" s="2" t="s">
        <v>14</v>
      </c>
      <c r="F113" s="1" t="s">
        <v>117</v>
      </c>
      <c r="H113" s="5" t="str">
        <f t="shared" si="8"/>
        <v>180</v>
      </c>
      <c r="I113" s="5" t="str">
        <f t="shared" si="9"/>
        <v>120.6</v>
      </c>
      <c r="J113" s="5">
        <v>108.54</v>
      </c>
    </row>
    <row r="114" spans="1:10" x14ac:dyDescent="0.3">
      <c r="A114" s="1" t="s">
        <v>94</v>
      </c>
      <c r="B114" s="2" t="s">
        <v>123</v>
      </c>
      <c r="C114" s="1" t="s">
        <v>121</v>
      </c>
      <c r="D114" s="1" t="s">
        <v>49</v>
      </c>
      <c r="E114" s="2" t="s">
        <v>14</v>
      </c>
      <c r="F114" s="1" t="s">
        <v>104</v>
      </c>
      <c r="H114" s="5" t="str">
        <f t="shared" si="8"/>
        <v>180</v>
      </c>
      <c r="I114" s="5" t="str">
        <f t="shared" si="9"/>
        <v>120.6</v>
      </c>
      <c r="J114" s="5">
        <v>108.54</v>
      </c>
    </row>
    <row r="115" spans="1:10" x14ac:dyDescent="0.3">
      <c r="A115" s="1" t="s">
        <v>94</v>
      </c>
      <c r="B115" s="2" t="s">
        <v>123</v>
      </c>
      <c r="C115" s="1" t="s">
        <v>121</v>
      </c>
      <c r="D115" s="1" t="s">
        <v>49</v>
      </c>
      <c r="E115" s="2" t="s">
        <v>14</v>
      </c>
      <c r="F115" s="1" t="s">
        <v>105</v>
      </c>
      <c r="H115" s="5" t="str">
        <f t="shared" si="8"/>
        <v>180</v>
      </c>
      <c r="I115" s="5" t="str">
        <f t="shared" si="9"/>
        <v>120.6</v>
      </c>
      <c r="J115" s="5">
        <v>108.54</v>
      </c>
    </row>
    <row r="116" spans="1:10" x14ac:dyDescent="0.3">
      <c r="A116" s="1" t="s">
        <v>94</v>
      </c>
      <c r="B116" s="2" t="s">
        <v>123</v>
      </c>
      <c r="C116" s="1" t="s">
        <v>121</v>
      </c>
      <c r="D116" s="1" t="s">
        <v>49</v>
      </c>
      <c r="E116" s="2" t="s">
        <v>14</v>
      </c>
      <c r="F116" s="1" t="s">
        <v>118</v>
      </c>
      <c r="H116" s="5" t="str">
        <f t="shared" si="8"/>
        <v>180</v>
      </c>
      <c r="I116" s="5" t="str">
        <f t="shared" si="9"/>
        <v>120.6</v>
      </c>
      <c r="J116" s="5">
        <v>108.54</v>
      </c>
    </row>
    <row r="117" spans="1:10" x14ac:dyDescent="0.3">
      <c r="A117" s="1" t="s">
        <v>94</v>
      </c>
      <c r="B117" s="2" t="s">
        <v>123</v>
      </c>
      <c r="C117" s="1" t="s">
        <v>121</v>
      </c>
      <c r="D117" s="1" t="s">
        <v>49</v>
      </c>
      <c r="E117" s="2" t="s">
        <v>14</v>
      </c>
      <c r="F117" s="1" t="s">
        <v>79</v>
      </c>
      <c r="H117" s="5" t="str">
        <f t="shared" si="8"/>
        <v>180</v>
      </c>
      <c r="I117" s="5" t="str">
        <f t="shared" si="9"/>
        <v>120.6</v>
      </c>
      <c r="J117" s="5">
        <v>108.54</v>
      </c>
    </row>
    <row r="118" spans="1:10" x14ac:dyDescent="0.3">
      <c r="A118" s="1" t="s">
        <v>94</v>
      </c>
      <c r="B118" s="2" t="s">
        <v>123</v>
      </c>
      <c r="C118" s="1" t="s">
        <v>121</v>
      </c>
      <c r="D118" s="1" t="s">
        <v>49</v>
      </c>
      <c r="E118" s="2" t="s">
        <v>14</v>
      </c>
      <c r="F118" s="1" t="s">
        <v>81</v>
      </c>
      <c r="H118" s="5" t="str">
        <f t="shared" si="8"/>
        <v>180</v>
      </c>
      <c r="I118" s="5" t="str">
        <f t="shared" si="9"/>
        <v>120.6</v>
      </c>
      <c r="J118" s="5">
        <v>108.54</v>
      </c>
    </row>
    <row r="119" spans="1:10" x14ac:dyDescent="0.3">
      <c r="A119" s="1" t="s">
        <v>94</v>
      </c>
      <c r="B119" s="2" t="s">
        <v>123</v>
      </c>
      <c r="C119" s="1" t="s">
        <v>121</v>
      </c>
      <c r="D119" s="1" t="s">
        <v>49</v>
      </c>
      <c r="E119" s="2" t="s">
        <v>14</v>
      </c>
      <c r="F119" s="1" t="s">
        <v>106</v>
      </c>
      <c r="H119" s="5" t="str">
        <f t="shared" si="8"/>
        <v>180</v>
      </c>
      <c r="I119" s="5" t="str">
        <f t="shared" si="9"/>
        <v>120.6</v>
      </c>
      <c r="J119" s="5">
        <v>108.54</v>
      </c>
    </row>
  </sheetData>
  <hyperlinks>
    <hyperlink ref="G14" r:id="rId1"/>
    <hyperlink ref="G15" r:id="rId2"/>
    <hyperlink ref="G17" r:id="rId3"/>
    <hyperlink ref="G16" r:id="rId4"/>
    <hyperlink ref="G19" r:id="rId5"/>
    <hyperlink ref="G18" r:id="rId6"/>
    <hyperlink ref="G20" r:id="rId7"/>
    <hyperlink ref="G21" r:id="rId8"/>
    <hyperlink ref="G28" r:id="rId9"/>
    <hyperlink ref="G29" r:id="rId10"/>
    <hyperlink ref="G37" r:id="rId11"/>
    <hyperlink ref="G50" r:id="rId12"/>
    <hyperlink ref="G63" r:id="rId13"/>
    <hyperlink ref="G82" r:id="rId14"/>
    <hyperlink ref="G101" r:id="rId1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lingeshwaran</dc:creator>
  <cp:lastModifiedBy>lingeshwaran</cp:lastModifiedBy>
  <dcterms:created xsi:type="dcterms:W3CDTF">2025-11-09T13:41:09Z</dcterms:created>
  <dcterms:modified xsi:type="dcterms:W3CDTF">2025-11-11T14:24:26Z</dcterms:modified>
</cp:coreProperties>
</file>